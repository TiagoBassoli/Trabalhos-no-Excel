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\Downloads\"/>
    </mc:Choice>
  </mc:AlternateContent>
  <xr:revisionPtr revIDLastSave="0" documentId="13_ncr:1_{1C242B3B-778B-422C-8033-464AAD4D5F01}" xr6:coauthVersionLast="47" xr6:coauthVersionMax="47" xr10:uidLastSave="{00000000-0000-0000-0000-000000000000}"/>
  <bookViews>
    <workbookView xWindow="-108" yWindow="-108" windowWidth="23256" windowHeight="13896" tabRatio="55" firstSheet="4" activeTab="4" xr2:uid="{28DD5B76-0634-4F87-BE60-8BFA7EF2E23B}"/>
  </bookViews>
  <sheets>
    <sheet name="A̳ssets" sheetId="1" state="hidden" r:id="rId1"/>
    <sheet name="B̳ases" sheetId="2" state="hidden" r:id="rId2"/>
    <sheet name="Planilha1" sheetId="5" state="hidden" r:id="rId3"/>
    <sheet name="C̳álculos" sheetId="3" state="hidden" r:id="rId4"/>
    <sheet name="D̳ashboard" sheetId="4" r:id="rId5"/>
  </sheets>
  <definedNames>
    <definedName name="SegmentaçãodeDados_Subscription_Type">#N/A</definedName>
  </definedNames>
  <calcPr calcId="191029"/>
  <pivotCaches>
    <pivotCache cacheId="9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2" i="3" l="1"/>
  <c r="F27" i="3"/>
</calcChain>
</file>

<file path=xl/sharedStrings.xml><?xml version="1.0" encoding="utf-8"?>
<sst xmlns="http://schemas.openxmlformats.org/spreadsheetml/2006/main" count="2156" uniqueCount="324">
  <si>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</si>
  <si>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</si>
  <si>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</si>
  <si>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</si>
  <si>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</si>
  <si>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</si>
  <si>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</si>
  <si>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</si>
  <si>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</si>
  <si>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</si>
  <si>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</si>
  <si>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</si>
  <si>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</si>
  <si>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</si>
  <si>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</si>
  <si>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</si>
  <si>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</si>
  <si>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</si>
  <si>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</si>
  <si>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</si>
  <si>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</si>
  <si>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</si>
  <si>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</si>
  <si>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</si>
  <si>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</si>
  <si>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</si>
  <si>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</si>
  <si>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</si>
  <si>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</si>
  <si>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</si>
  <si>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</si>
  <si>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</si>
  <si>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</si>
  <si>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</si>
  <si>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</si>
  <si>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</si>
  <si>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</si>
  <si>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</si>
  <si>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</si>
  <si>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</si>
  <si>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</si>
  <si>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</si>
  <si>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</si>
  <si>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</si>
  <si>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</si>
  <si>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</si>
  <si>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</si>
  <si>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</si>
  <si>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</si>
  <si>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</si>
  <si>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</si>
  <si>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</si>
  <si>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</si>
  <si>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</si>
  <si>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</si>
  <si>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</si>
  <si>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</si>
  <si>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</si>
  <si>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</si>
  <si>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</si>
  <si>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</si>
  <si>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</si>
  <si>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</si>
  <si>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</si>
  <si>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</si>
  <si>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</si>
  <si>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</si>
  <si>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</si>
  <si>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</si>
  <si>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</si>
  <si>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</si>
  <si>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</si>
  <si>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</si>
  <si>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</si>
  <si>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</si>
  <si>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</si>
  <si>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</si>
  <si>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</si>
  <si>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</si>
  <si>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</si>
  <si>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</si>
  <si>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</si>
  <si>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</si>
  <si>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</si>
  <si>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</si>
  <si>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</si>
  <si>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</si>
  <si>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</si>
  <si>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</si>
  <si>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</si>
  <si>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</si>
  <si>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</si>
  <si>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</si>
  <si>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</si>
  <si>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</si>
  <si>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</si>
  <si>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</si>
  <si>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</si>
  <si>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</si>
  <si>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</si>
  <si>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</si>
  <si>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</si>
  <si>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</si>
  <si>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</si>
  <si>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</si>
  <si>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</si>
  <si>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</si>
  <si>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</si>
  <si>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</si>
  <si>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</si>
  <si>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</si>
  <si>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</si>
  <si>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</si>
  <si>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</si>
  <si>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</si>
  <si>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</si>
  <si>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</si>
  <si>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</si>
  <si>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</si>
  <si>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</si>
  <si>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</si>
  <si>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</si>
  <si>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</si>
  <si>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</si>
  <si>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</si>
  <si>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</si>
  <si>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</si>
  <si>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</si>
  <si>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</si>
  <si>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</si>
  <si>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</si>
  <si>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</si>
  <si>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</si>
  <si>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</si>
  <si>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</si>
  <si>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</si>
  <si>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</si>
  <si>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</si>
  <si>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</si>
  <si>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</si>
  <si>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</si>
  <si>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</si>
  <si>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</si>
  <si>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</si>
  <si>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</si>
  <si>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</si>
  <si>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</si>
  <si>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</si>
  <si>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</si>
  <si>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</si>
  <si>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</si>
  <si>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</si>
  <si>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</si>
  <si>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</si>
  <si>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</si>
  <si>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</si>
  <si>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</si>
  <si>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</si>
  <si>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</si>
  <si>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</si>
  <si>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</si>
  <si>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</si>
  <si>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</si>
  <si>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</si>
  <si>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</si>
  <si>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</si>
  <si>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</si>
  <si>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</si>
  <si>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</si>
  <si>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</si>
  <si>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</si>
  <si>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</si>
  <si>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</si>
  <si>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</si>
  <si>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</si>
  <si>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</si>
  <si>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</si>
  <si>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</si>
  <si>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</si>
  <si>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</si>
  <si>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</si>
  <si>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</si>
  <si>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</si>
  <si>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</si>
  <si>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</si>
  <si>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</si>
  <si>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</si>
  <si>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</si>
  <si>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</si>
  <si>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</si>
  <si>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</si>
  <si>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</si>
  <si>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</si>
  <si>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</si>
  <si>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</si>
  <si>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</si>
  <si>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</si>
  <si>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</si>
  <si>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</si>
  <si>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</si>
  <si>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</si>
  <si>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</si>
  <si>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</si>
  <si>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</si>
  <si>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</si>
  <si>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</si>
  <si>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</si>
  <si>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</si>
  <si>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</si>
  <si>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</si>
  <si>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</si>
  <si>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</si>
  <si>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</si>
  <si>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</si>
  <si>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</si>
  <si>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</si>
  <si>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</si>
  <si>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</si>
  <si>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</si>
  <si>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</si>
  <si>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</si>
  <si>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</si>
  <si>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</si>
  <si>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</si>
  <si>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</si>
  <si>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</si>
  <si>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</si>
  <si>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</si>
  <si>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</si>
  <si>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</si>
  <si>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</si>
  <si>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</si>
  <si>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</si>
  <si>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</si>
  <si>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</si>
  <si>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</si>
  <si>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</si>
  <si>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</si>
  <si>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</si>
  <si>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</si>
  <si>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</si>
  <si>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</si>
  <si>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</si>
  <si>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</si>
  <si>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</si>
  <si>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</si>
  <si>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</si>
  <si>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</si>
  <si>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</si>
  <si>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</si>
  <si>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</si>
  <si>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</si>
  <si>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</si>
  <si>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</si>
  <si>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</si>
  <si>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</si>
  <si>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</si>
  <si>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</si>
  <si>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</si>
  <si>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</si>
  <si>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</si>
  <si>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</si>
  <si>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</si>
  <si>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</si>
  <si>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</si>
  <si>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</si>
  <si>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</si>
  <si>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</si>
  <si>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</si>
  <si>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</si>
  <si>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</si>
  <si>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</si>
  <si>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</si>
  <si>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</si>
  <si>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</si>
  <si>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</si>
  <si>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</si>
  <si>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</si>
  <si>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</si>
  <si>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</si>
  <si>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</si>
  <si>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</si>
  <si>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</si>
  <si>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</si>
  <si>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</si>
  <si>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</si>
  <si>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</si>
  <si>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</si>
  <si>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</si>
  <si>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</si>
  <si>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</si>
  <si>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</si>
  <si>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</si>
  <si>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</si>
  <si>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</si>
  <si>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</si>
  <si>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</si>
  <si>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</si>
  <si>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</si>
  <si>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</si>
  <si>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</si>
  <si>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</si>
  <si>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</si>
  <si>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</si>
  <si>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</si>
  <si>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</si>
  <si>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</si>
  <si>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</si>
  <si>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</si>
  <si>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</si>
  <si>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</si>
  <si>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</si>
  <si>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</si>
  <si>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Negócios 1 - Qual fautramento Total de vendas de planos anuais (contendo todas as assinaturas agregadas)</t>
  </si>
  <si>
    <t>Soma de Total Value</t>
  </si>
  <si>
    <t>Rótulos de Linha</t>
  </si>
  <si>
    <t>Total Geral</t>
  </si>
  <si>
    <t>XBOX GAME PASS SUBSCRIPTION SALES</t>
  </si>
  <si>
    <t>Pergunta de Negócios 3 - Total de vendas da assinaturas do EA Play</t>
  </si>
  <si>
    <t>Soma de EA Play Season Pass</t>
  </si>
  <si>
    <t>Pergunta de Negócios 4 - Total de vendas da assinaturas do Minecraft Season Pass</t>
  </si>
  <si>
    <t>Soma de Minecraft Season Pass Price</t>
  </si>
  <si>
    <t>&gt; Welcome Liana</t>
  </si>
  <si>
    <t>Calculation period: 01/01/2024 - 31/12/2024 | Update date: 19/09/2026 11:47:00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</si>
</sst>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EDEDED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9" borderId="0" xfId="0" applyFill="1"/>
    <xf numFmtId="0" fontId="0" fillId="10" borderId="0" xfId="0" applyFill="1"/>
    <xf numFmtId="14" fontId="0" fillId="0" borderId="0" xfId="0" applyNumberFormat="1"/>
    <xf numFmtId="165" fontId="3" fillId="8" borderId="2" xfId="0" applyNumberFormat="1" applyFont="1" applyFill="1" applyBorder="1"/>
    <xf numFmtId="0" fontId="1" fillId="0" borderId="3" xfId="1" applyBorder="1"/>
    <xf numFmtId="0" fontId="4" fillId="0" borderId="3" xfId="1" applyFont="1" applyBorder="1" applyAlignment="1">
      <alignment horizontal="center"/>
    </xf>
    <xf numFmtId="0" fontId="0" fillId="0" borderId="0" xfId="0" applyAlignment="1">
      <alignment horizontal="left" indent="1"/>
    </xf>
    <xf numFmtId="165" fontId="0" fillId="0" borderId="0" xfId="0" applyNumberFormat="1"/>
    <xf numFmtId="0" fontId="5" fillId="10" borderId="0" xfId="0" applyFont="1" applyFill="1" applyAlignment="1">
      <alignment horizontal="left" indent="2"/>
    </xf>
    <xf numFmtId="0" fontId="6" fillId="4" borderId="0" xfId="0" applyFont="1" applyFill="1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75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0B84CBA1-652F-4DE8-B854-E73CCF26DB4E}">
      <tableStyleElement type="wholeTable" dxfId="59"/>
      <tableStyleElement type="headerRow" dxfId="58"/>
    </tableStyle>
  </tableStyles>
  <colors>
    <mruColors>
      <color rgb="FF22C55E"/>
      <color rgb="FFEDEDED"/>
      <color rgb="FF2AE6B1"/>
      <color rgb="FF5BF6A8"/>
      <color rgb="FFF7F8FC"/>
      <color rgb="FFE8E6E9"/>
      <color rgb="FF000000"/>
      <color rgb="FFE0E0E0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 no Excel.xlsx]C̳álculos!tbl_vendasanaual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1305775981997152E-2"/>
          <c:y val="0.18296543937594389"/>
          <c:w val="0.91282140919521304"/>
          <c:h val="0.741817949839603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6F-4D3A-90F6-5D86B8BA2F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C̳álculos!$C$14:$C$16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C̳álculos!$D$14:$D$16</c:f>
              <c:numCache>
                <c:formatCode>"R$"\ #,##0.00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6F-4D3A-90F6-5D86B8BA2F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11954704"/>
        <c:axId val="1411955184"/>
      </c:barChart>
      <c:catAx>
        <c:axId val="14119547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1955184"/>
        <c:crosses val="autoZero"/>
        <c:auto val="1"/>
        <c:lblAlgn val="ctr"/>
        <c:lblOffset val="100"/>
        <c:noMultiLvlLbl val="0"/>
      </c:catAx>
      <c:valAx>
        <c:axId val="1411955184"/>
        <c:scaling>
          <c:orientation val="minMax"/>
        </c:scaling>
        <c:delete val="1"/>
        <c:axPos val="b"/>
        <c:numFmt formatCode="&quot;R$&quot;\ #,##0.00" sourceLinked="1"/>
        <c:majorTickMark val="out"/>
        <c:minorTickMark val="none"/>
        <c:tickLblPos val="nextTo"/>
        <c:crossAx val="141195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133350</xdr:colOff>
      <xdr:row>1</xdr:row>
      <xdr:rowOff>76776</xdr:rowOff>
    </xdr:from>
    <xdr:to>
      <xdr:col>0</xdr:col>
      <xdr:colOff>1781176</xdr:colOff>
      <xdr:row>3</xdr:row>
      <xdr:rowOff>134132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9F4E485-1855-4D70-8865-23C151EBBB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77" t="20325" r="36634" b="25787"/>
        <a:stretch/>
      </xdr:blipFill>
      <xdr:spPr>
        <a:xfrm>
          <a:off x="133350" y="219016"/>
          <a:ext cx="1647826" cy="555196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9</xdr:row>
      <xdr:rowOff>170238</xdr:rowOff>
    </xdr:from>
    <xdr:to>
      <xdr:col>0</xdr:col>
      <xdr:colOff>1870710</xdr:colOff>
      <xdr:row>19</xdr:row>
      <xdr:rowOff>74987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5E0ECECD-09AC-4590-8ACC-23F91F0AD4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" y="2288598"/>
              <a:ext cx="1847850" cy="17335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124461</xdr:colOff>
      <xdr:row>4</xdr:row>
      <xdr:rowOff>284884</xdr:rowOff>
    </xdr:from>
    <xdr:to>
      <xdr:col>9</xdr:col>
      <xdr:colOff>30366</xdr:colOff>
      <xdr:row>12</xdr:row>
      <xdr:rowOff>148994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2D9154CA-8331-4167-B764-9AD91858222D}"/>
            </a:ext>
          </a:extLst>
        </xdr:cNvPr>
        <xdr:cNvGrpSpPr/>
      </xdr:nvGrpSpPr>
      <xdr:grpSpPr>
        <a:xfrm>
          <a:off x="2014221" y="1168804"/>
          <a:ext cx="5224665" cy="1647190"/>
          <a:chOff x="2000250" y="762000"/>
          <a:chExt cx="6497410" cy="1631248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A99F0F00-EA68-5C77-32AF-37F0C4A4DF8A}"/>
              </a:ext>
            </a:extLst>
          </xdr:cNvPr>
          <xdr:cNvSpPr/>
        </xdr:nvSpPr>
        <xdr:spPr>
          <a:xfrm>
            <a:off x="2000250" y="771525"/>
            <a:ext cx="5762625" cy="135255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7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A23F3527-774A-4370-BC61-09057115268F}"/>
              </a:ext>
            </a:extLst>
          </xdr:cNvPr>
          <xdr:cNvSpPr/>
        </xdr:nvSpPr>
        <xdr:spPr>
          <a:xfrm>
            <a:off x="3316061" y="1033463"/>
            <a:ext cx="5181599" cy="113347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9F91FF9-4700-494A-9496-A82E57936083}" type="TxLink">
              <a:rPr lang="en-US" sz="3600" b="1" i="0" u="none" strike="noStrike">
                <a:solidFill>
                  <a:srgbClr val="22C55E"/>
                </a:solidFill>
                <a:latin typeface="Aptos Narrow"/>
              </a:rPr>
              <a:pPr algn="ctr"/>
              <a:t>R$ 1.350,00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EEF71833-1E04-4835-B73E-AEAF063B45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23504" y="826624"/>
            <a:ext cx="2048657" cy="1566624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A8163E14-9E3E-E1F2-331F-7A54BE14FAAA}"/>
              </a:ext>
            </a:extLst>
          </xdr:cNvPr>
          <xdr:cNvSpPr/>
        </xdr:nvSpPr>
        <xdr:spPr>
          <a:xfrm>
            <a:off x="2000250" y="762000"/>
            <a:ext cx="5762625" cy="3905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/>
              <a:t>TOTAL SUBSCRIPTIONS EA PLAY SEASON PASS</a:t>
            </a:r>
          </a:p>
        </xdr:txBody>
      </xdr:sp>
    </xdr:grpSp>
    <xdr:clientData/>
  </xdr:twoCellAnchor>
  <xdr:twoCellAnchor editAs="absolute">
    <xdr:from>
      <xdr:col>8</xdr:col>
      <xdr:colOff>253075</xdr:colOff>
      <xdr:row>4</xdr:row>
      <xdr:rowOff>284884</xdr:rowOff>
    </xdr:from>
    <xdr:to>
      <xdr:col>17</xdr:col>
      <xdr:colOff>309357</xdr:colOff>
      <xdr:row>11</xdr:row>
      <xdr:rowOff>113117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583F29C8-5A38-57CA-D400-3F8B7A830F0F}"/>
            </a:ext>
          </a:extLst>
        </xdr:cNvPr>
        <xdr:cNvGrpSpPr/>
      </xdr:nvGrpSpPr>
      <xdr:grpSpPr>
        <a:xfrm>
          <a:off x="6851995" y="1168804"/>
          <a:ext cx="5809382" cy="1428433"/>
          <a:chOff x="8039100" y="762000"/>
          <a:chExt cx="5799343" cy="1414463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DBF98392-D7D6-46A7-9F5B-DBB150849C7E}"/>
              </a:ext>
            </a:extLst>
          </xdr:cNvPr>
          <xdr:cNvGrpSpPr/>
        </xdr:nvGrpSpPr>
        <xdr:grpSpPr>
          <a:xfrm>
            <a:off x="8039100" y="762000"/>
            <a:ext cx="5799343" cy="1414463"/>
            <a:chOff x="2000250" y="762000"/>
            <a:chExt cx="5799343" cy="1414463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A739CFA7-1B7B-C565-5D43-5B6EB9BA58C4}"/>
                </a:ext>
              </a:extLst>
            </xdr:cNvPr>
            <xdr:cNvSpPr/>
          </xdr:nvSpPr>
          <xdr:spPr>
            <a:xfrm>
              <a:off x="2000250" y="771525"/>
              <a:ext cx="4858199" cy="135255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3600" b="1"/>
            </a:p>
          </xdr:txBody>
        </xdr:sp>
        <xdr:sp macro="" textlink="C̳álculos!F42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6658469D-15C1-4A33-863D-C5123C56D56B}"/>
                </a:ext>
              </a:extLst>
            </xdr:cNvPr>
            <xdr:cNvSpPr/>
          </xdr:nvSpPr>
          <xdr:spPr>
            <a:xfrm>
              <a:off x="2617994" y="1042988"/>
              <a:ext cx="5181599" cy="1133475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1B2C962B-B309-49FC-8EC0-6386FD170CA8}" type="TxLink">
                <a:rPr lang="en-US" sz="3600" b="1" i="0" u="none" strike="noStrike">
                  <a:solidFill>
                    <a:srgbClr val="22C55E"/>
                  </a:solidFill>
                  <a:latin typeface="Aptos Narrow"/>
                </a:rPr>
                <a:t>R$ 1.800,00</a:t>
              </a:fld>
              <a:endParaRPr lang="pt-BR" sz="3600" b="1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B7A6F593-F14F-929B-87DC-8F20BD9C03CB}"/>
                </a:ext>
              </a:extLst>
            </xdr:cNvPr>
            <xdr:cNvSpPr/>
          </xdr:nvSpPr>
          <xdr:spPr>
            <a:xfrm>
              <a:off x="2000250" y="762000"/>
              <a:ext cx="4858199" cy="39052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400" b="1"/>
                <a:t>TOTAL SUBSCRIPTIONS MINECRAFT</a:t>
              </a:r>
              <a:r>
                <a:rPr lang="pt-BR" sz="1400" b="1" baseline="0"/>
                <a:t> SEASON </a:t>
              </a:r>
              <a:r>
                <a:rPr lang="pt-BR" sz="1400" b="1"/>
                <a:t>PASS</a:t>
              </a: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03ECC7A6-BACD-4314-A1E0-C4B93027EABB}"/>
              </a:ext>
            </a:extLst>
          </xdr:cNvPr>
          <xdr:cNvGrpSpPr/>
        </xdr:nvGrpSpPr>
        <xdr:grpSpPr>
          <a:xfrm>
            <a:off x="8567794" y="1257549"/>
            <a:ext cx="1323975" cy="656349"/>
            <a:chOff x="3189189" y="5370531"/>
            <a:chExt cx="1549476" cy="762524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3E8753CB-84C4-1F22-2B49-A4B52296607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671815" y="5370531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71231A88-6251-81B7-7C35-E584E4BA2ED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189189" y="5875841"/>
              <a:ext cx="1549476" cy="25721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115571</xdr:colOff>
      <xdr:row>12</xdr:row>
      <xdr:rowOff>182246</xdr:rowOff>
    </xdr:from>
    <xdr:to>
      <xdr:col>16</xdr:col>
      <xdr:colOff>18357</xdr:colOff>
      <xdr:row>31</xdr:row>
      <xdr:rowOff>182245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F8B5811B-357B-E305-4AC1-4A9F92666884}"/>
            </a:ext>
          </a:extLst>
        </xdr:cNvPr>
        <xdr:cNvGrpSpPr/>
      </xdr:nvGrpSpPr>
      <xdr:grpSpPr>
        <a:xfrm>
          <a:off x="2005331" y="2849246"/>
          <a:ext cx="9755446" cy="3474719"/>
          <a:chOff x="2005331" y="2945766"/>
          <a:chExt cx="9757986" cy="3474719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B4C5A961-FCC5-CCE3-3E88-92DFA607872A}"/>
              </a:ext>
            </a:extLst>
          </xdr:cNvPr>
          <xdr:cNvGrpSpPr/>
        </xdr:nvGrpSpPr>
        <xdr:grpSpPr>
          <a:xfrm>
            <a:off x="2015490" y="2945766"/>
            <a:ext cx="9747827" cy="3474719"/>
            <a:chOff x="6324600" y="3095626"/>
            <a:chExt cx="5629275" cy="3438524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6D33E337-8C3C-C71E-E534-9A02356464FE}"/>
                </a:ext>
              </a:extLst>
            </xdr:cNvPr>
            <xdr:cNvSpPr/>
          </xdr:nvSpPr>
          <xdr:spPr>
            <a:xfrm>
              <a:off x="6324600" y="3105150"/>
              <a:ext cx="5610225" cy="3429000"/>
            </a:xfrm>
            <a:prstGeom prst="roundRect">
              <a:avLst>
                <a:gd name="adj" fmla="val 6667"/>
              </a:avLst>
            </a:prstGeom>
            <a:solidFill>
              <a:srgbClr val="F7F8FC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B80B9AEF-6197-41E0-9B35-120C5773DEBA}"/>
                </a:ext>
              </a:extLst>
            </xdr:cNvPr>
            <xdr:cNvGraphicFramePr>
              <a:graphicFrameLocks/>
            </xdr:cNvGraphicFramePr>
          </xdr:nvGraphicFramePr>
          <xdr:xfrm>
            <a:off x="6332219" y="3095626"/>
            <a:ext cx="5621656" cy="34099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ABF5E8CB-4B92-4E8B-89D5-F8454513DCB2}"/>
              </a:ext>
            </a:extLst>
          </xdr:cNvPr>
          <xdr:cNvSpPr/>
        </xdr:nvSpPr>
        <xdr:spPr>
          <a:xfrm>
            <a:off x="2005331" y="2955926"/>
            <a:ext cx="9730508" cy="39624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/>
              <a:t>TOTAL SUBSCRIPTIONS XBOX</a:t>
            </a:r>
            <a:r>
              <a:rPr lang="pt-BR" sz="1400" b="1" baseline="0"/>
              <a:t> GAME PASS</a:t>
            </a:r>
            <a:endParaRPr lang="pt-BR" sz="1400" b="1"/>
          </a:p>
        </xdr:txBody>
      </xdr:sp>
    </xdr:grpSp>
    <xdr:clientData/>
  </xdr:twoCellAnchor>
  <xdr:twoCellAnchor editAs="absolute">
    <xdr:from>
      <xdr:col>0</xdr:col>
      <xdr:colOff>498879</xdr:colOff>
      <xdr:row>3</xdr:row>
      <xdr:rowOff>233680</xdr:rowOff>
    </xdr:from>
    <xdr:to>
      <xdr:col>0</xdr:col>
      <xdr:colOff>1402080</xdr:colOff>
      <xdr:row>7</xdr:row>
      <xdr:rowOff>81627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73302B79-AC0B-45B8-96F4-44C9F3099A2E}"/>
            </a:ext>
          </a:extLst>
        </xdr:cNvPr>
        <xdr:cNvSpPr/>
      </xdr:nvSpPr>
      <xdr:spPr>
        <a:xfrm>
          <a:off x="498879" y="873760"/>
          <a:ext cx="903201" cy="874107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ago Gabriel Bassoli" refreshedDate="46284.380354976849" createdVersion="8" refreshedVersion="8" minRefreshableVersion="3" recordCount="295" xr:uid="{000A8799-71D4-40CF-A140-7FA5264C4D4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6196104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x v="0"/>
    <x v="0"/>
    <n v="20"/>
    <n v="5"/>
    <x v="0"/>
  </r>
  <r>
    <n v="3232"/>
    <s v="Maria Oliveira"/>
    <x v="1"/>
    <d v="2024-01-15T00:00:00"/>
    <x v="1"/>
    <n v="5"/>
    <x v="1"/>
    <x v="1"/>
    <x v="1"/>
    <x v="1"/>
    <n v="0"/>
    <n v="0"/>
    <x v="1"/>
  </r>
  <r>
    <n v="3233"/>
    <s v="Lucas Fernandes"/>
    <x v="2"/>
    <d v="2024-02-10T00:00:00"/>
    <x v="0"/>
    <n v="10"/>
    <x v="2"/>
    <x v="1"/>
    <x v="1"/>
    <x v="0"/>
    <n v="20"/>
    <n v="10"/>
    <x v="2"/>
  </r>
  <r>
    <n v="3234"/>
    <s v="Ana Souza"/>
    <x v="0"/>
    <d v="2024-02-20T00:00:00"/>
    <x v="1"/>
    <n v="15"/>
    <x v="0"/>
    <x v="0"/>
    <x v="0"/>
    <x v="0"/>
    <n v="20"/>
    <n v="3"/>
    <x v="3"/>
  </r>
  <r>
    <n v="3235"/>
    <s v="Pedro Gonçalves"/>
    <x v="1"/>
    <d v="2024-03-05T00:00:00"/>
    <x v="0"/>
    <n v="5"/>
    <x v="0"/>
    <x v="1"/>
    <x v="1"/>
    <x v="1"/>
    <n v="0"/>
    <n v="1"/>
    <x v="4"/>
  </r>
  <r>
    <n v="3236"/>
    <s v="Felipe Costa"/>
    <x v="2"/>
    <d v="2024-03-02T00:00:00"/>
    <x v="1"/>
    <n v="10"/>
    <x v="0"/>
    <x v="1"/>
    <x v="1"/>
    <x v="0"/>
    <n v="20"/>
    <n v="2"/>
    <x v="5"/>
  </r>
  <r>
    <n v="3237"/>
    <s v="Camila Ribeiro"/>
    <x v="0"/>
    <d v="2024-03-03T00:00:00"/>
    <x v="0"/>
    <n v="15"/>
    <x v="2"/>
    <x v="0"/>
    <x v="0"/>
    <x v="0"/>
    <n v="20"/>
    <n v="10"/>
    <x v="6"/>
  </r>
  <r>
    <n v="3238"/>
    <s v="André Mendes"/>
    <x v="1"/>
    <d v="2024-03-04T00:00:00"/>
    <x v="0"/>
    <n v="5"/>
    <x v="1"/>
    <x v="1"/>
    <x v="1"/>
    <x v="1"/>
    <n v="0"/>
    <n v="0"/>
    <x v="1"/>
  </r>
  <r>
    <n v="3239"/>
    <s v="Sofia Almeida"/>
    <x v="0"/>
    <d v="2024-03-05T00:00:00"/>
    <x v="1"/>
    <n v="15"/>
    <x v="0"/>
    <x v="0"/>
    <x v="0"/>
    <x v="0"/>
    <n v="20"/>
    <n v="5"/>
    <x v="0"/>
  </r>
  <r>
    <n v="3240"/>
    <s v="Bruno Martins"/>
    <x v="2"/>
    <d v="2024-03-06T00:00:00"/>
    <x v="0"/>
    <n v="10"/>
    <x v="2"/>
    <x v="1"/>
    <x v="1"/>
    <x v="0"/>
    <n v="20"/>
    <n v="15"/>
    <x v="7"/>
  </r>
  <r>
    <n v="3241"/>
    <s v="Rita Castro"/>
    <x v="1"/>
    <d v="2024-03-07T00:00:00"/>
    <x v="1"/>
    <n v="5"/>
    <x v="0"/>
    <x v="1"/>
    <x v="1"/>
    <x v="1"/>
    <n v="0"/>
    <n v="1"/>
    <x v="4"/>
  </r>
  <r>
    <n v="3242"/>
    <s v="Marco Túlio"/>
    <x v="0"/>
    <d v="2024-03-08T00:00:00"/>
    <x v="0"/>
    <n v="15"/>
    <x v="1"/>
    <x v="0"/>
    <x v="0"/>
    <x v="0"/>
    <n v="20"/>
    <n v="20"/>
    <x v="8"/>
  </r>
  <r>
    <n v="3243"/>
    <s v="Lívia Silveira"/>
    <x v="2"/>
    <d v="2024-03-09T00:00:00"/>
    <x v="1"/>
    <n v="10"/>
    <x v="0"/>
    <x v="1"/>
    <x v="1"/>
    <x v="0"/>
    <n v="20"/>
    <n v="10"/>
    <x v="2"/>
  </r>
  <r>
    <n v="3244"/>
    <s v="Diogo Sousa"/>
    <x v="1"/>
    <d v="2024-03-10T00:00:00"/>
    <x v="0"/>
    <n v="5"/>
    <x v="2"/>
    <x v="1"/>
    <x v="1"/>
    <x v="1"/>
    <n v="0"/>
    <n v="0"/>
    <x v="1"/>
  </r>
  <r>
    <n v="3245"/>
    <s v="Fernanda Lima"/>
    <x v="0"/>
    <d v="2024-03-11T00:00:00"/>
    <x v="1"/>
    <n v="15"/>
    <x v="0"/>
    <x v="0"/>
    <x v="0"/>
    <x v="0"/>
    <n v="20"/>
    <n v="8"/>
    <x v="9"/>
  </r>
  <r>
    <n v="3246"/>
    <s v="Caio Pereira"/>
    <x v="2"/>
    <d v="2024-03-12T00:00:00"/>
    <x v="0"/>
    <n v="10"/>
    <x v="1"/>
    <x v="1"/>
    <x v="1"/>
    <x v="0"/>
    <n v="20"/>
    <n v="12"/>
    <x v="10"/>
  </r>
  <r>
    <n v="3247"/>
    <s v="Beatriz Gomes"/>
    <x v="1"/>
    <d v="2024-03-13T00:00:00"/>
    <x v="1"/>
    <n v="5"/>
    <x v="0"/>
    <x v="1"/>
    <x v="1"/>
    <x v="1"/>
    <n v="0"/>
    <n v="2"/>
    <x v="11"/>
  </r>
  <r>
    <n v="3248"/>
    <s v="Cesar Oliveira"/>
    <x v="0"/>
    <d v="2024-03-14T00:00:00"/>
    <x v="0"/>
    <n v="15"/>
    <x v="2"/>
    <x v="0"/>
    <x v="0"/>
    <x v="0"/>
    <n v="20"/>
    <n v="7"/>
    <x v="12"/>
  </r>
  <r>
    <n v="3249"/>
    <s v="Débora Machado"/>
    <x v="2"/>
    <d v="2024-03-15T00:00:00"/>
    <x v="1"/>
    <n v="10"/>
    <x v="0"/>
    <x v="1"/>
    <x v="1"/>
    <x v="0"/>
    <n v="20"/>
    <n v="5"/>
    <x v="13"/>
  </r>
  <r>
    <n v="3250"/>
    <s v="Eduardo Vargas"/>
    <x v="1"/>
    <d v="2024-03-16T00:00:00"/>
    <x v="0"/>
    <n v="5"/>
    <x v="1"/>
    <x v="1"/>
    <x v="1"/>
    <x v="1"/>
    <n v="0"/>
    <n v="0"/>
    <x v="1"/>
  </r>
  <r>
    <n v="3251"/>
    <s v="Gabriela Santos"/>
    <x v="0"/>
    <d v="2024-03-17T00:00:00"/>
    <x v="1"/>
    <n v="15"/>
    <x v="0"/>
    <x v="0"/>
    <x v="0"/>
    <x v="0"/>
    <n v="20"/>
    <n v="3"/>
    <x v="3"/>
  </r>
  <r>
    <n v="3252"/>
    <s v="Henrique Dias"/>
    <x v="2"/>
    <d v="2024-03-18T00:00:00"/>
    <x v="0"/>
    <n v="10"/>
    <x v="2"/>
    <x v="1"/>
    <x v="1"/>
    <x v="0"/>
    <n v="20"/>
    <n v="15"/>
    <x v="7"/>
  </r>
  <r>
    <n v="3253"/>
    <s v="Isabela Moreira"/>
    <x v="1"/>
    <d v="2024-03-19T00:00:00"/>
    <x v="1"/>
    <n v="5"/>
    <x v="0"/>
    <x v="1"/>
    <x v="1"/>
    <x v="1"/>
    <n v="0"/>
    <n v="1"/>
    <x v="4"/>
  </r>
  <r>
    <n v="3254"/>
    <s v="Joaquim Barbosa"/>
    <x v="0"/>
    <d v="2024-03-20T00:00:00"/>
    <x v="0"/>
    <n v="15"/>
    <x v="1"/>
    <x v="0"/>
    <x v="0"/>
    <x v="0"/>
    <n v="20"/>
    <n v="20"/>
    <x v="8"/>
  </r>
  <r>
    <n v="3255"/>
    <s v="Lara Rocha"/>
    <x v="2"/>
    <d v="2024-03-21T00:00:00"/>
    <x v="1"/>
    <n v="10"/>
    <x v="0"/>
    <x v="1"/>
    <x v="1"/>
    <x v="0"/>
    <n v="20"/>
    <n v="10"/>
    <x v="2"/>
  </r>
  <r>
    <n v="3256"/>
    <s v="Matheus Silva"/>
    <x v="1"/>
    <d v="2024-03-22T00:00:00"/>
    <x v="0"/>
    <n v="5"/>
    <x v="2"/>
    <x v="1"/>
    <x v="1"/>
    <x v="1"/>
    <n v="0"/>
    <n v="0"/>
    <x v="1"/>
  </r>
  <r>
    <n v="3257"/>
    <s v="Nicole Costa"/>
    <x v="0"/>
    <d v="2024-03-23T00:00:00"/>
    <x v="1"/>
    <n v="15"/>
    <x v="0"/>
    <x v="0"/>
    <x v="0"/>
    <x v="0"/>
    <n v="20"/>
    <n v="5"/>
    <x v="0"/>
  </r>
  <r>
    <n v="3258"/>
    <s v="Otávio Mendonça"/>
    <x v="2"/>
    <d v="2024-03-24T00:00:00"/>
    <x v="0"/>
    <n v="10"/>
    <x v="1"/>
    <x v="1"/>
    <x v="1"/>
    <x v="0"/>
    <n v="20"/>
    <n v="15"/>
    <x v="7"/>
  </r>
  <r>
    <n v="3259"/>
    <s v="Paula Ferreira"/>
    <x v="1"/>
    <d v="2024-03-25T00:00:00"/>
    <x v="1"/>
    <n v="5"/>
    <x v="0"/>
    <x v="1"/>
    <x v="1"/>
    <x v="1"/>
    <n v="0"/>
    <n v="1"/>
    <x v="4"/>
  </r>
  <r>
    <n v="3260"/>
    <s v="Raquel Alves"/>
    <x v="0"/>
    <d v="2024-03-26T00:00:00"/>
    <x v="0"/>
    <n v="15"/>
    <x v="2"/>
    <x v="0"/>
    <x v="0"/>
    <x v="0"/>
    <n v="20"/>
    <n v="7"/>
    <x v="12"/>
  </r>
  <r>
    <n v="3261"/>
    <s v="Samuel Pires"/>
    <x v="2"/>
    <d v="2024-03-27T00:00:00"/>
    <x v="1"/>
    <n v="10"/>
    <x v="0"/>
    <x v="1"/>
    <x v="1"/>
    <x v="0"/>
    <n v="20"/>
    <n v="10"/>
    <x v="2"/>
  </r>
  <r>
    <n v="3262"/>
    <s v="Tânia Barros"/>
    <x v="1"/>
    <d v="2024-03-28T00:00:00"/>
    <x v="0"/>
    <n v="5"/>
    <x v="1"/>
    <x v="1"/>
    <x v="1"/>
    <x v="1"/>
    <n v="0"/>
    <n v="0"/>
    <x v="1"/>
  </r>
  <r>
    <n v="3263"/>
    <s v="Vinicius Lima"/>
    <x v="0"/>
    <d v="2024-03-29T00:00:00"/>
    <x v="1"/>
    <n v="15"/>
    <x v="0"/>
    <x v="0"/>
    <x v="0"/>
    <x v="0"/>
    <n v="20"/>
    <n v="3"/>
    <x v="3"/>
  </r>
  <r>
    <n v="3264"/>
    <s v="Yasmin Teixeira"/>
    <x v="2"/>
    <d v="2024-03-30T00:00:00"/>
    <x v="0"/>
    <n v="10"/>
    <x v="2"/>
    <x v="1"/>
    <x v="1"/>
    <x v="0"/>
    <n v="20"/>
    <n v="15"/>
    <x v="7"/>
  </r>
  <r>
    <n v="3265"/>
    <s v="Zé Carlos"/>
    <x v="1"/>
    <d v="2024-03-31T00:00:00"/>
    <x v="1"/>
    <n v="5"/>
    <x v="0"/>
    <x v="1"/>
    <x v="1"/>
    <x v="1"/>
    <n v="0"/>
    <n v="1"/>
    <x v="4"/>
  </r>
  <r>
    <n v="3266"/>
    <s v="Amanda Nogueira"/>
    <x v="1"/>
    <d v="2024-04-01T00:00:00"/>
    <x v="0"/>
    <n v="5"/>
    <x v="0"/>
    <x v="1"/>
    <x v="1"/>
    <x v="1"/>
    <n v="0"/>
    <n v="0"/>
    <x v="1"/>
  </r>
  <r>
    <n v="3267"/>
    <s v="Bruno Cavalheiro"/>
    <x v="0"/>
    <d v="2024-04-02T00:00:00"/>
    <x v="1"/>
    <n v="15"/>
    <x v="2"/>
    <x v="0"/>
    <x v="0"/>
    <x v="0"/>
    <n v="20"/>
    <n v="7"/>
    <x v="12"/>
  </r>
  <r>
    <n v="3268"/>
    <s v="Carla Dias"/>
    <x v="2"/>
    <d v="2024-04-03T00:00:00"/>
    <x v="0"/>
    <n v="10"/>
    <x v="1"/>
    <x v="1"/>
    <x v="1"/>
    <x v="0"/>
    <n v="20"/>
    <n v="10"/>
    <x v="2"/>
  </r>
  <r>
    <n v="3269"/>
    <s v="Diego Fontes"/>
    <x v="1"/>
    <d v="2024-04-04T00:00:00"/>
    <x v="1"/>
    <n v="5"/>
    <x v="2"/>
    <x v="1"/>
    <x v="1"/>
    <x v="1"/>
    <n v="0"/>
    <n v="1"/>
    <x v="4"/>
  </r>
  <r>
    <n v="3270"/>
    <s v="Eunice Lima"/>
    <x v="0"/>
    <d v="2024-04-05T00:00:00"/>
    <x v="0"/>
    <n v="15"/>
    <x v="0"/>
    <x v="0"/>
    <x v="0"/>
    <x v="0"/>
    <n v="20"/>
    <n v="15"/>
    <x v="14"/>
  </r>
  <r>
    <n v="3271"/>
    <s v="Fábio Martins"/>
    <x v="2"/>
    <d v="2024-04-06T00:00:00"/>
    <x v="1"/>
    <n v="10"/>
    <x v="0"/>
    <x v="1"/>
    <x v="1"/>
    <x v="0"/>
    <n v="20"/>
    <n v="5"/>
    <x v="13"/>
  </r>
  <r>
    <n v="3272"/>
    <s v="Gisele Araújo"/>
    <x v="1"/>
    <d v="2024-04-07T00:00:00"/>
    <x v="0"/>
    <n v="5"/>
    <x v="1"/>
    <x v="1"/>
    <x v="1"/>
    <x v="1"/>
    <n v="0"/>
    <n v="0"/>
    <x v="1"/>
  </r>
  <r>
    <n v="3273"/>
    <s v="Hélio Castro"/>
    <x v="0"/>
    <d v="2024-04-08T00:00:00"/>
    <x v="1"/>
    <n v="15"/>
    <x v="2"/>
    <x v="0"/>
    <x v="0"/>
    <x v="0"/>
    <n v="20"/>
    <n v="20"/>
    <x v="8"/>
  </r>
  <r>
    <n v="3274"/>
    <s v="Ingrid Menezes"/>
    <x v="2"/>
    <d v="2024-04-09T00:00:00"/>
    <x v="0"/>
    <n v="10"/>
    <x v="2"/>
    <x v="1"/>
    <x v="1"/>
    <x v="0"/>
    <n v="20"/>
    <n v="12"/>
    <x v="10"/>
  </r>
  <r>
    <n v="3275"/>
    <s v="Jorge Baptista"/>
    <x v="1"/>
    <d v="2024-04-10T00:00:00"/>
    <x v="1"/>
    <n v="5"/>
    <x v="0"/>
    <x v="1"/>
    <x v="1"/>
    <x v="1"/>
    <n v="0"/>
    <n v="2"/>
    <x v="11"/>
  </r>
  <r>
    <n v="3276"/>
    <s v="Kléber Oliveira"/>
    <x v="0"/>
    <d v="2024-04-11T00:00:00"/>
    <x v="0"/>
    <n v="15"/>
    <x v="1"/>
    <x v="0"/>
    <x v="0"/>
    <x v="0"/>
    <n v="20"/>
    <n v="5"/>
    <x v="0"/>
  </r>
  <r>
    <n v="3277"/>
    <s v="Luciana Freitas"/>
    <x v="2"/>
    <d v="2024-04-12T00:00:00"/>
    <x v="1"/>
    <n v="10"/>
    <x v="0"/>
    <x v="1"/>
    <x v="1"/>
    <x v="0"/>
    <n v="20"/>
    <n v="10"/>
    <x v="2"/>
  </r>
  <r>
    <n v="3278"/>
    <s v="Márcia Eller"/>
    <x v="1"/>
    <d v="2024-04-13T00:00:00"/>
    <x v="0"/>
    <n v="5"/>
    <x v="2"/>
    <x v="1"/>
    <x v="1"/>
    <x v="1"/>
    <n v="0"/>
    <n v="0"/>
    <x v="1"/>
  </r>
  <r>
    <n v="3279"/>
    <s v="Nilo Peçanha"/>
    <x v="0"/>
    <d v="2024-04-14T00:00:00"/>
    <x v="1"/>
    <n v="15"/>
    <x v="0"/>
    <x v="0"/>
    <x v="0"/>
    <x v="0"/>
    <n v="20"/>
    <n v="3"/>
    <x v="3"/>
  </r>
  <r>
    <n v="3280"/>
    <s v="Oscar Neves"/>
    <x v="2"/>
    <d v="2024-04-15T00:00:00"/>
    <x v="0"/>
    <n v="10"/>
    <x v="1"/>
    <x v="1"/>
    <x v="1"/>
    <x v="0"/>
    <n v="20"/>
    <n v="15"/>
    <x v="7"/>
  </r>
  <r>
    <n v="3281"/>
    <s v="Patrícia Soares"/>
    <x v="1"/>
    <d v="2024-04-16T00:00:00"/>
    <x v="1"/>
    <n v="5"/>
    <x v="0"/>
    <x v="1"/>
    <x v="1"/>
    <x v="1"/>
    <n v="0"/>
    <n v="1"/>
    <x v="4"/>
  </r>
  <r>
    <n v="3282"/>
    <s v="Quirino Gonçalves"/>
    <x v="0"/>
    <d v="2024-04-17T00:00:00"/>
    <x v="0"/>
    <n v="15"/>
    <x v="2"/>
    <x v="0"/>
    <x v="0"/>
    <x v="0"/>
    <n v="20"/>
    <n v="7"/>
    <x v="12"/>
  </r>
  <r>
    <n v="3283"/>
    <s v="Raul Machado"/>
    <x v="2"/>
    <d v="2024-04-18T00:00:00"/>
    <x v="1"/>
    <n v="10"/>
    <x v="0"/>
    <x v="1"/>
    <x v="1"/>
    <x v="0"/>
    <n v="20"/>
    <n v="10"/>
    <x v="2"/>
  </r>
  <r>
    <n v="3284"/>
    <s v="Sônia Lobo"/>
    <x v="1"/>
    <d v="2024-04-19T00:00:00"/>
    <x v="0"/>
    <n v="5"/>
    <x v="1"/>
    <x v="1"/>
    <x v="1"/>
    <x v="1"/>
    <n v="0"/>
    <n v="0"/>
    <x v="1"/>
  </r>
  <r>
    <n v="3285"/>
    <s v="Tiago Ramos"/>
    <x v="0"/>
    <d v="2024-04-20T00:00:00"/>
    <x v="1"/>
    <n v="15"/>
    <x v="0"/>
    <x v="0"/>
    <x v="0"/>
    <x v="0"/>
    <n v="20"/>
    <n v="20"/>
    <x v="8"/>
  </r>
  <r>
    <n v="3286"/>
    <s v="Ugo Pires"/>
    <x v="2"/>
    <d v="2024-04-21T00:00:00"/>
    <x v="0"/>
    <n v="10"/>
    <x v="2"/>
    <x v="1"/>
    <x v="1"/>
    <x v="0"/>
    <n v="20"/>
    <n v="15"/>
    <x v="7"/>
  </r>
  <r>
    <n v="3287"/>
    <s v="Valéria Nobre"/>
    <x v="1"/>
    <d v="2024-04-22T00:00:00"/>
    <x v="1"/>
    <n v="5"/>
    <x v="0"/>
    <x v="1"/>
    <x v="1"/>
    <x v="1"/>
    <n v="0"/>
    <n v="1"/>
    <x v="4"/>
  </r>
  <r>
    <n v="3288"/>
    <s v="William Siqueira"/>
    <x v="0"/>
    <d v="2024-04-23T00:00:00"/>
    <x v="0"/>
    <n v="15"/>
    <x v="1"/>
    <x v="0"/>
    <x v="0"/>
    <x v="0"/>
    <n v="20"/>
    <n v="3"/>
    <x v="3"/>
  </r>
  <r>
    <n v="3289"/>
    <s v="Xuxa Meneghel"/>
    <x v="2"/>
    <d v="2024-04-24T00:00:00"/>
    <x v="1"/>
    <n v="10"/>
    <x v="0"/>
    <x v="1"/>
    <x v="1"/>
    <x v="0"/>
    <n v="20"/>
    <n v="10"/>
    <x v="2"/>
  </r>
  <r>
    <n v="3290"/>
    <s v="Yara Figueiredo"/>
    <x v="1"/>
    <d v="2024-04-25T00:00:00"/>
    <x v="0"/>
    <n v="5"/>
    <x v="2"/>
    <x v="1"/>
    <x v="1"/>
    <x v="1"/>
    <n v="0"/>
    <n v="0"/>
    <x v="1"/>
  </r>
  <r>
    <n v="3291"/>
    <s v="Zacarias Alves"/>
    <x v="0"/>
    <d v="2024-04-26T00:00:00"/>
    <x v="1"/>
    <n v="15"/>
    <x v="0"/>
    <x v="0"/>
    <x v="0"/>
    <x v="0"/>
    <n v="20"/>
    <n v="5"/>
    <x v="0"/>
  </r>
  <r>
    <n v="3292"/>
    <s v="Amanda Bynes"/>
    <x v="2"/>
    <d v="2024-04-27T00:00:00"/>
    <x v="0"/>
    <n v="10"/>
    <x v="1"/>
    <x v="1"/>
    <x v="1"/>
    <x v="0"/>
    <n v="20"/>
    <n v="15"/>
    <x v="7"/>
  </r>
  <r>
    <n v="3293"/>
    <s v="Bruno Mars"/>
    <x v="1"/>
    <d v="2024-04-28T00:00:00"/>
    <x v="1"/>
    <n v="5"/>
    <x v="0"/>
    <x v="1"/>
    <x v="1"/>
    <x v="1"/>
    <n v="0"/>
    <n v="1"/>
    <x v="4"/>
  </r>
  <r>
    <n v="3294"/>
    <s v="Carla Bruni"/>
    <x v="0"/>
    <d v="2024-04-29T00:00:00"/>
    <x v="0"/>
    <n v="15"/>
    <x v="2"/>
    <x v="0"/>
    <x v="0"/>
    <x v="0"/>
    <n v="20"/>
    <n v="20"/>
    <x v="8"/>
  </r>
  <r>
    <n v="3295"/>
    <s v="Diego Maradona"/>
    <x v="2"/>
    <d v="2024-04-30T00:00:00"/>
    <x v="1"/>
    <n v="10"/>
    <x v="0"/>
    <x v="1"/>
    <x v="1"/>
    <x v="0"/>
    <n v="20"/>
    <n v="5"/>
    <x v="13"/>
  </r>
  <r>
    <n v="3296"/>
    <s v="Estela Marques"/>
    <x v="1"/>
    <d v="2024-05-01T00:00:00"/>
    <x v="1"/>
    <n v="5"/>
    <x v="0"/>
    <x v="1"/>
    <x v="1"/>
    <x v="1"/>
    <n v="0"/>
    <n v="0"/>
    <x v="1"/>
  </r>
  <r>
    <n v="3297"/>
    <s v="Fábio Nobre"/>
    <x v="0"/>
    <d v="2024-05-02T00:00:00"/>
    <x v="0"/>
    <n v="15"/>
    <x v="2"/>
    <x v="0"/>
    <x v="0"/>
    <x v="0"/>
    <n v="20"/>
    <n v="7"/>
    <x v="12"/>
  </r>
  <r>
    <n v="3298"/>
    <s v="Gabriel Oliveira"/>
    <x v="2"/>
    <d v="2024-05-03T00:00:00"/>
    <x v="1"/>
    <n v="10"/>
    <x v="1"/>
    <x v="1"/>
    <x v="1"/>
    <x v="0"/>
    <n v="20"/>
    <n v="10"/>
    <x v="2"/>
  </r>
  <r>
    <n v="3299"/>
    <s v="Helena Santos"/>
    <x v="1"/>
    <d v="2024-05-04T00:00:00"/>
    <x v="0"/>
    <n v="5"/>
    <x v="2"/>
    <x v="1"/>
    <x v="1"/>
    <x v="1"/>
    <n v="0"/>
    <n v="1"/>
    <x v="4"/>
  </r>
  <r>
    <n v="3300"/>
    <s v="Ivan Carvalho"/>
    <x v="0"/>
    <d v="2024-05-05T00:00:00"/>
    <x v="1"/>
    <n v="15"/>
    <x v="0"/>
    <x v="0"/>
    <x v="0"/>
    <x v="0"/>
    <n v="20"/>
    <n v="15"/>
    <x v="14"/>
  </r>
  <r>
    <n v="3301"/>
    <s v="Júlia Ferreira"/>
    <x v="2"/>
    <d v="2024-05-06T00:00:00"/>
    <x v="0"/>
    <n v="10"/>
    <x v="0"/>
    <x v="1"/>
    <x v="1"/>
    <x v="0"/>
    <n v="20"/>
    <n v="5"/>
    <x v="13"/>
  </r>
  <r>
    <n v="3302"/>
    <s v="Karla Alves"/>
    <x v="1"/>
    <d v="2024-05-07T00:00:00"/>
    <x v="1"/>
    <n v="5"/>
    <x v="1"/>
    <x v="1"/>
    <x v="1"/>
    <x v="1"/>
    <n v="0"/>
    <n v="0"/>
    <x v="1"/>
  </r>
  <r>
    <n v="3303"/>
    <s v="Lucas Mendes"/>
    <x v="0"/>
    <d v="2024-05-08T00:00:00"/>
    <x v="0"/>
    <n v="15"/>
    <x v="2"/>
    <x v="0"/>
    <x v="0"/>
    <x v="0"/>
    <n v="20"/>
    <n v="20"/>
    <x v="8"/>
  </r>
  <r>
    <n v="3304"/>
    <s v="Mônica Gomes"/>
    <x v="2"/>
    <d v="2024-05-09T00:00:00"/>
    <x v="1"/>
    <n v="10"/>
    <x v="2"/>
    <x v="1"/>
    <x v="1"/>
    <x v="0"/>
    <n v="20"/>
    <n v="12"/>
    <x v="10"/>
  </r>
  <r>
    <n v="3305"/>
    <s v="Norberto Queiroz"/>
    <x v="1"/>
    <d v="2024-05-10T00:00:00"/>
    <x v="0"/>
    <n v="5"/>
    <x v="0"/>
    <x v="1"/>
    <x v="1"/>
    <x v="1"/>
    <n v="0"/>
    <n v="2"/>
    <x v="11"/>
  </r>
  <r>
    <n v="3306"/>
    <s v="Otávio Barros"/>
    <x v="0"/>
    <d v="2024-05-11T00:00:00"/>
    <x v="1"/>
    <n v="15"/>
    <x v="1"/>
    <x v="0"/>
    <x v="0"/>
    <x v="0"/>
    <n v="20"/>
    <n v="5"/>
    <x v="0"/>
  </r>
  <r>
    <n v="3307"/>
    <s v="Paula Vieira"/>
    <x v="2"/>
    <d v="2024-05-12T00:00:00"/>
    <x v="0"/>
    <n v="10"/>
    <x v="0"/>
    <x v="1"/>
    <x v="1"/>
    <x v="0"/>
    <n v="20"/>
    <n v="10"/>
    <x v="2"/>
  </r>
  <r>
    <n v="3308"/>
    <s v="Quentin Ramos"/>
    <x v="1"/>
    <d v="2024-05-13T00:00:00"/>
    <x v="1"/>
    <n v="5"/>
    <x v="2"/>
    <x v="1"/>
    <x v="1"/>
    <x v="1"/>
    <n v="0"/>
    <n v="0"/>
    <x v="1"/>
  </r>
  <r>
    <n v="3309"/>
    <s v="Raquel Novaes"/>
    <x v="0"/>
    <d v="2024-05-14T00:00:00"/>
    <x v="0"/>
    <n v="15"/>
    <x v="0"/>
    <x v="0"/>
    <x v="0"/>
    <x v="0"/>
    <n v="20"/>
    <n v="3"/>
    <x v="3"/>
  </r>
  <r>
    <n v="3310"/>
    <s v="Samantha Lopes"/>
    <x v="2"/>
    <d v="2024-05-15T00:00:00"/>
    <x v="1"/>
    <n v="10"/>
    <x v="1"/>
    <x v="1"/>
    <x v="1"/>
    <x v="0"/>
    <n v="20"/>
    <n v="15"/>
    <x v="7"/>
  </r>
  <r>
    <n v="3311"/>
    <s v="Tiago Martins"/>
    <x v="1"/>
    <d v="2024-05-16T00:00:00"/>
    <x v="0"/>
    <n v="5"/>
    <x v="0"/>
    <x v="1"/>
    <x v="1"/>
    <x v="1"/>
    <n v="0"/>
    <n v="1"/>
    <x v="4"/>
  </r>
  <r>
    <n v="3312"/>
    <s v="Ulysses Guimarães"/>
    <x v="0"/>
    <d v="2024-05-17T00:00:00"/>
    <x v="1"/>
    <n v="15"/>
    <x v="2"/>
    <x v="0"/>
    <x v="0"/>
    <x v="0"/>
    <n v="20"/>
    <n v="7"/>
    <x v="12"/>
  </r>
  <r>
    <n v="3313"/>
    <s v="Vanessa Silva"/>
    <x v="2"/>
    <d v="2024-05-18T00:00:00"/>
    <x v="0"/>
    <n v="10"/>
    <x v="0"/>
    <x v="1"/>
    <x v="1"/>
    <x v="0"/>
    <n v="20"/>
    <n v="10"/>
    <x v="2"/>
  </r>
  <r>
    <n v="3314"/>
    <s v="William Carneiro"/>
    <x v="1"/>
    <d v="2024-05-19T00:00:00"/>
    <x v="1"/>
    <n v="5"/>
    <x v="1"/>
    <x v="1"/>
    <x v="1"/>
    <x v="1"/>
    <n v="0"/>
    <n v="0"/>
    <x v="1"/>
  </r>
  <r>
    <n v="3315"/>
    <s v="Ximena Rocha"/>
    <x v="0"/>
    <d v="2024-05-20T00:00:00"/>
    <x v="0"/>
    <n v="15"/>
    <x v="0"/>
    <x v="0"/>
    <x v="0"/>
    <x v="0"/>
    <n v="20"/>
    <n v="20"/>
    <x v="8"/>
  </r>
  <r>
    <n v="3316"/>
    <s v="Yasmin Figueiredo"/>
    <x v="2"/>
    <d v="2024-05-21T00:00:00"/>
    <x v="1"/>
    <n v="10"/>
    <x v="2"/>
    <x v="1"/>
    <x v="1"/>
    <x v="0"/>
    <n v="20"/>
    <n v="15"/>
    <x v="7"/>
  </r>
  <r>
    <n v="3317"/>
    <s v="Zara Cunha"/>
    <x v="1"/>
    <d v="2024-05-22T00:00:00"/>
    <x v="0"/>
    <n v="5"/>
    <x v="0"/>
    <x v="1"/>
    <x v="1"/>
    <x v="1"/>
    <n v="0"/>
    <n v="1"/>
    <x v="4"/>
  </r>
  <r>
    <n v="3318"/>
    <s v="Alan Teixeira"/>
    <x v="0"/>
    <d v="2024-05-23T00:00:00"/>
    <x v="1"/>
    <n v="15"/>
    <x v="1"/>
    <x v="0"/>
    <x v="0"/>
    <x v="0"/>
    <n v="20"/>
    <n v="3"/>
    <x v="3"/>
  </r>
  <r>
    <n v="3319"/>
    <s v="Bárbara Oliveira"/>
    <x v="2"/>
    <d v="2024-05-24T00:00:00"/>
    <x v="0"/>
    <n v="10"/>
    <x v="0"/>
    <x v="1"/>
    <x v="1"/>
    <x v="0"/>
    <n v="20"/>
    <n v="10"/>
    <x v="2"/>
  </r>
  <r>
    <n v="3320"/>
    <s v="Carlos Junqueira"/>
    <x v="1"/>
    <d v="2024-05-25T00:00:00"/>
    <x v="1"/>
    <n v="5"/>
    <x v="2"/>
    <x v="1"/>
    <x v="1"/>
    <x v="1"/>
    <n v="0"/>
    <n v="0"/>
    <x v="1"/>
  </r>
  <r>
    <n v="3321"/>
    <s v="Daniela Moura"/>
    <x v="0"/>
    <d v="2024-05-26T00:00:00"/>
    <x v="0"/>
    <n v="15"/>
    <x v="0"/>
    <x v="0"/>
    <x v="0"/>
    <x v="0"/>
    <n v="20"/>
    <n v="5"/>
    <x v="0"/>
  </r>
  <r>
    <n v="3322"/>
    <s v="Eduardo Lima"/>
    <x v="2"/>
    <d v="2024-05-27T00:00:00"/>
    <x v="1"/>
    <n v="10"/>
    <x v="1"/>
    <x v="1"/>
    <x v="1"/>
    <x v="0"/>
    <n v="20"/>
    <n v="15"/>
    <x v="7"/>
  </r>
  <r>
    <n v="3323"/>
    <s v="Fabiana Araújo"/>
    <x v="1"/>
    <d v="2024-05-28T00:00:00"/>
    <x v="0"/>
    <n v="5"/>
    <x v="0"/>
    <x v="1"/>
    <x v="1"/>
    <x v="1"/>
    <n v="0"/>
    <n v="1"/>
    <x v="4"/>
  </r>
  <r>
    <n v="3324"/>
    <s v="Geraldo Ribeiro"/>
    <x v="0"/>
    <d v="2024-05-29T00:00:00"/>
    <x v="1"/>
    <n v="15"/>
    <x v="2"/>
    <x v="0"/>
    <x v="0"/>
    <x v="0"/>
    <n v="20"/>
    <n v="20"/>
    <x v="8"/>
  </r>
  <r>
    <n v="3325"/>
    <s v="Héctor Vargas"/>
    <x v="2"/>
    <d v="2024-05-30T00:00:00"/>
    <x v="0"/>
    <n v="10"/>
    <x v="2"/>
    <x v="1"/>
    <x v="1"/>
    <x v="0"/>
    <n v="20"/>
    <n v="15"/>
    <x v="7"/>
  </r>
  <r>
    <n v="3326"/>
    <s v="Isabela Fonseca"/>
    <x v="1"/>
    <d v="2024-05-31T00:00:00"/>
    <x v="1"/>
    <n v="5"/>
    <x v="1"/>
    <x v="1"/>
    <x v="1"/>
    <x v="1"/>
    <n v="0"/>
    <n v="0"/>
    <x v="1"/>
  </r>
  <r>
    <n v="3327"/>
    <s v="João Pedro Almeida"/>
    <x v="0"/>
    <d v="2024-06-01T00:00:00"/>
    <x v="0"/>
    <n v="15"/>
    <x v="0"/>
    <x v="0"/>
    <x v="0"/>
    <x v="0"/>
    <n v="20"/>
    <n v="7"/>
    <x v="12"/>
  </r>
  <r>
    <n v="3328"/>
    <s v="Klara Costa"/>
    <x v="2"/>
    <d v="2024-06-02T00:00:00"/>
    <x v="1"/>
    <n v="10"/>
    <x v="1"/>
    <x v="1"/>
    <x v="1"/>
    <x v="0"/>
    <n v="20"/>
    <n v="10"/>
    <x v="2"/>
  </r>
  <r>
    <n v="3329"/>
    <s v="Luciana Mendes"/>
    <x v="1"/>
    <d v="2024-06-03T00:00:00"/>
    <x v="0"/>
    <n v="5"/>
    <x v="2"/>
    <x v="1"/>
    <x v="1"/>
    <x v="1"/>
    <n v="0"/>
    <n v="1"/>
    <x v="4"/>
  </r>
  <r>
    <n v="3330"/>
    <s v="Marcelo Gouveia"/>
    <x v="0"/>
    <d v="2024-06-04T00:00:00"/>
    <x v="1"/>
    <n v="15"/>
    <x v="0"/>
    <x v="0"/>
    <x v="0"/>
    <x v="0"/>
    <n v="20"/>
    <n v="15"/>
    <x v="14"/>
  </r>
  <r>
    <n v="3331"/>
    <s v="Nívea Borges"/>
    <x v="2"/>
    <d v="2024-06-05T00:00:00"/>
    <x v="0"/>
    <n v="10"/>
    <x v="0"/>
    <x v="1"/>
    <x v="1"/>
    <x v="0"/>
    <n v="20"/>
    <n v="5"/>
    <x v="13"/>
  </r>
  <r>
    <n v="3332"/>
    <s v="Oscar Nogueira"/>
    <x v="1"/>
    <d v="2024-06-06T00:00:00"/>
    <x v="1"/>
    <n v="5"/>
    <x v="1"/>
    <x v="1"/>
    <x v="1"/>
    <x v="1"/>
    <n v="0"/>
    <n v="0"/>
    <x v="1"/>
  </r>
  <r>
    <n v="3333"/>
    <s v="Patrícia Alves"/>
    <x v="0"/>
    <d v="2024-06-07T00:00:00"/>
    <x v="0"/>
    <n v="15"/>
    <x v="2"/>
    <x v="0"/>
    <x v="0"/>
    <x v="0"/>
    <n v="20"/>
    <n v="20"/>
    <x v="8"/>
  </r>
  <r>
    <n v="3334"/>
    <s v="Rafaela Silva"/>
    <x v="2"/>
    <d v="2024-06-08T00:00:00"/>
    <x v="1"/>
    <n v="10"/>
    <x v="2"/>
    <x v="1"/>
    <x v="1"/>
    <x v="0"/>
    <n v="20"/>
    <n v="12"/>
    <x v="10"/>
  </r>
  <r>
    <n v="3335"/>
    <s v="Samantha Moraes"/>
    <x v="1"/>
    <d v="2024-06-09T00:00:00"/>
    <x v="0"/>
    <n v="5"/>
    <x v="0"/>
    <x v="1"/>
    <x v="1"/>
    <x v="1"/>
    <n v="0"/>
    <n v="2"/>
    <x v="11"/>
  </r>
  <r>
    <n v="3336"/>
    <s v="Tatiana Rocha"/>
    <x v="1"/>
    <d v="2024-06-10T00:00:00"/>
    <x v="0"/>
    <n v="5"/>
    <x v="0"/>
    <x v="1"/>
    <x v="1"/>
    <x v="1"/>
    <n v="0"/>
    <n v="0"/>
    <x v="1"/>
  </r>
  <r>
    <n v="3337"/>
    <s v="Ulisses Tavares"/>
    <x v="0"/>
    <d v="2024-06-11T00:00:00"/>
    <x v="1"/>
    <n v="15"/>
    <x v="2"/>
    <x v="0"/>
    <x v="0"/>
    <x v="0"/>
    <n v="20"/>
    <n v="7"/>
    <x v="12"/>
  </r>
  <r>
    <n v="3338"/>
    <s v="Víctor Lemos"/>
    <x v="2"/>
    <d v="2024-06-12T00:00:00"/>
    <x v="0"/>
    <n v="10"/>
    <x v="1"/>
    <x v="1"/>
    <x v="1"/>
    <x v="0"/>
    <n v="20"/>
    <n v="10"/>
    <x v="2"/>
  </r>
  <r>
    <n v="3339"/>
    <s v="Wilma Barros"/>
    <x v="1"/>
    <d v="2024-06-13T00:00:00"/>
    <x v="1"/>
    <n v="5"/>
    <x v="2"/>
    <x v="1"/>
    <x v="1"/>
    <x v="1"/>
    <n v="0"/>
    <n v="1"/>
    <x v="4"/>
  </r>
  <r>
    <n v="3340"/>
    <s v="Xavier Nascimento"/>
    <x v="0"/>
    <d v="2024-06-14T00:00:00"/>
    <x v="0"/>
    <n v="15"/>
    <x v="0"/>
    <x v="0"/>
    <x v="0"/>
    <x v="0"/>
    <n v="20"/>
    <n v="15"/>
    <x v="14"/>
  </r>
  <r>
    <n v="3341"/>
    <s v="Yago Pereira"/>
    <x v="2"/>
    <d v="2024-06-15T00:00:00"/>
    <x v="1"/>
    <n v="10"/>
    <x v="0"/>
    <x v="1"/>
    <x v="1"/>
    <x v="0"/>
    <n v="20"/>
    <n v="5"/>
    <x v="13"/>
  </r>
  <r>
    <n v="3342"/>
    <s v="Zilda Ferreira"/>
    <x v="1"/>
    <d v="2024-06-16T00:00:00"/>
    <x v="0"/>
    <n v="5"/>
    <x v="1"/>
    <x v="1"/>
    <x v="1"/>
    <x v="1"/>
    <n v="0"/>
    <n v="0"/>
    <x v="1"/>
  </r>
  <r>
    <n v="3343"/>
    <s v="Amanda Lopes"/>
    <x v="0"/>
    <d v="2024-06-17T00:00:00"/>
    <x v="1"/>
    <n v="15"/>
    <x v="2"/>
    <x v="0"/>
    <x v="0"/>
    <x v="0"/>
    <n v="20"/>
    <n v="20"/>
    <x v="8"/>
  </r>
  <r>
    <n v="3344"/>
    <s v="Bruno Miranda"/>
    <x v="2"/>
    <d v="2024-06-18T00:00:00"/>
    <x v="0"/>
    <n v="10"/>
    <x v="2"/>
    <x v="1"/>
    <x v="1"/>
    <x v="0"/>
    <n v="20"/>
    <n v="12"/>
    <x v="10"/>
  </r>
  <r>
    <n v="3345"/>
    <s v="Célia Torres"/>
    <x v="1"/>
    <d v="2024-06-19T00:00:00"/>
    <x v="1"/>
    <n v="5"/>
    <x v="0"/>
    <x v="1"/>
    <x v="1"/>
    <x v="1"/>
    <n v="0"/>
    <n v="2"/>
    <x v="11"/>
  </r>
  <r>
    <n v="3346"/>
    <s v="Diogo Souza"/>
    <x v="0"/>
    <d v="2024-06-20T00:00:00"/>
    <x v="0"/>
    <n v="15"/>
    <x v="1"/>
    <x v="0"/>
    <x v="0"/>
    <x v="0"/>
    <n v="20"/>
    <n v="5"/>
    <x v="0"/>
  </r>
  <r>
    <n v="3347"/>
    <s v="Elisa Castro"/>
    <x v="2"/>
    <d v="2024-06-21T00:00:00"/>
    <x v="1"/>
    <n v="10"/>
    <x v="0"/>
    <x v="1"/>
    <x v="1"/>
    <x v="0"/>
    <n v="20"/>
    <n v="10"/>
    <x v="2"/>
  </r>
  <r>
    <n v="3348"/>
    <s v="Fátima Lima"/>
    <x v="1"/>
    <d v="2024-06-22T00:00:00"/>
    <x v="0"/>
    <n v="5"/>
    <x v="2"/>
    <x v="1"/>
    <x v="1"/>
    <x v="1"/>
    <n v="0"/>
    <n v="0"/>
    <x v="1"/>
  </r>
  <r>
    <n v="3349"/>
    <s v="Geraldo Ribeiro"/>
    <x v="0"/>
    <d v="2024-06-23T00:00:00"/>
    <x v="1"/>
    <n v="15"/>
    <x v="0"/>
    <x v="0"/>
    <x v="0"/>
    <x v="0"/>
    <n v="20"/>
    <n v="3"/>
    <x v="3"/>
  </r>
  <r>
    <n v="3350"/>
    <s v="Hélio Martins"/>
    <x v="2"/>
    <d v="2024-06-24T00:00:00"/>
    <x v="0"/>
    <n v="10"/>
    <x v="1"/>
    <x v="1"/>
    <x v="1"/>
    <x v="0"/>
    <n v="20"/>
    <n v="15"/>
    <x v="7"/>
  </r>
  <r>
    <n v="3351"/>
    <s v="Íris Santos"/>
    <x v="1"/>
    <d v="2024-06-25T00:00:00"/>
    <x v="1"/>
    <n v="5"/>
    <x v="0"/>
    <x v="1"/>
    <x v="1"/>
    <x v="1"/>
    <n v="0"/>
    <n v="1"/>
    <x v="4"/>
  </r>
  <r>
    <n v="3352"/>
    <s v="João Marcelo"/>
    <x v="0"/>
    <d v="2024-06-26T00:00:00"/>
    <x v="0"/>
    <n v="15"/>
    <x v="2"/>
    <x v="0"/>
    <x v="0"/>
    <x v="0"/>
    <n v="20"/>
    <n v="7"/>
    <x v="12"/>
  </r>
  <r>
    <n v="3353"/>
    <s v="Larissa Gomes"/>
    <x v="2"/>
    <d v="2024-06-27T00:00:00"/>
    <x v="1"/>
    <n v="10"/>
    <x v="0"/>
    <x v="1"/>
    <x v="1"/>
    <x v="0"/>
    <n v="20"/>
    <n v="10"/>
    <x v="2"/>
  </r>
  <r>
    <n v="3354"/>
    <s v="Márcio Silva"/>
    <x v="1"/>
    <d v="2024-06-28T00:00:00"/>
    <x v="0"/>
    <n v="5"/>
    <x v="1"/>
    <x v="1"/>
    <x v="1"/>
    <x v="1"/>
    <n v="0"/>
    <n v="0"/>
    <x v="1"/>
  </r>
  <r>
    <n v="3355"/>
    <s v="Nadia Costa"/>
    <x v="0"/>
    <d v="2024-06-29T00:00:00"/>
    <x v="1"/>
    <n v="15"/>
    <x v="0"/>
    <x v="0"/>
    <x v="0"/>
    <x v="0"/>
    <n v="20"/>
    <n v="20"/>
    <x v="8"/>
  </r>
  <r>
    <n v="3356"/>
    <s v="Oscar Almeida"/>
    <x v="2"/>
    <d v="2024-06-30T00:00:00"/>
    <x v="0"/>
    <n v="10"/>
    <x v="2"/>
    <x v="1"/>
    <x v="1"/>
    <x v="0"/>
    <n v="20"/>
    <n v="15"/>
    <x v="7"/>
  </r>
  <r>
    <n v="3357"/>
    <s v="Patricia Soares"/>
    <x v="1"/>
    <d v="2024-07-01T00:00:00"/>
    <x v="1"/>
    <n v="5"/>
    <x v="0"/>
    <x v="1"/>
    <x v="1"/>
    <x v="1"/>
    <n v="0"/>
    <n v="1"/>
    <x v="4"/>
  </r>
  <r>
    <n v="3358"/>
    <s v="Quênia Barros"/>
    <x v="0"/>
    <d v="2024-07-02T00:00:00"/>
    <x v="0"/>
    <n v="15"/>
    <x v="1"/>
    <x v="0"/>
    <x v="0"/>
    <x v="0"/>
    <n v="20"/>
    <n v="3"/>
    <x v="3"/>
  </r>
  <r>
    <n v="3359"/>
    <s v="Rafael Torres"/>
    <x v="2"/>
    <d v="2024-07-03T00:00:00"/>
    <x v="1"/>
    <n v="10"/>
    <x v="0"/>
    <x v="1"/>
    <x v="1"/>
    <x v="0"/>
    <n v="20"/>
    <n v="10"/>
    <x v="2"/>
  </r>
  <r>
    <n v="3360"/>
    <s v="Silvia Nascimento"/>
    <x v="1"/>
    <d v="2024-07-04T00:00:00"/>
    <x v="0"/>
    <n v="5"/>
    <x v="2"/>
    <x v="1"/>
    <x v="1"/>
    <x v="1"/>
    <n v="0"/>
    <n v="0"/>
    <x v="1"/>
  </r>
  <r>
    <n v="3361"/>
    <s v="Tiago Mendes"/>
    <x v="0"/>
    <d v="2024-07-05T00:00:00"/>
    <x v="1"/>
    <n v="15"/>
    <x v="0"/>
    <x v="0"/>
    <x v="0"/>
    <x v="0"/>
    <n v="20"/>
    <n v="15"/>
    <x v="14"/>
  </r>
  <r>
    <n v="3362"/>
    <s v="Ursula Silva"/>
    <x v="2"/>
    <d v="2024-07-06T00:00:00"/>
    <x v="0"/>
    <n v="10"/>
    <x v="1"/>
    <x v="1"/>
    <x v="1"/>
    <x v="0"/>
    <n v="20"/>
    <n v="15"/>
    <x v="7"/>
  </r>
  <r>
    <n v="3363"/>
    <s v="Vanessa Moraes"/>
    <x v="1"/>
    <d v="2024-07-07T00:00:00"/>
    <x v="1"/>
    <n v="5"/>
    <x v="0"/>
    <x v="1"/>
    <x v="1"/>
    <x v="1"/>
    <n v="0"/>
    <n v="1"/>
    <x v="4"/>
  </r>
  <r>
    <n v="3364"/>
    <s v="Waldir Junior"/>
    <x v="0"/>
    <d v="2024-07-08T00:00:00"/>
    <x v="0"/>
    <n v="15"/>
    <x v="2"/>
    <x v="0"/>
    <x v="0"/>
    <x v="0"/>
    <n v="20"/>
    <n v="7"/>
    <x v="12"/>
  </r>
  <r>
    <n v="3365"/>
    <s v="Xavier Lopes"/>
    <x v="2"/>
    <d v="2024-07-09T00:00:00"/>
    <x v="1"/>
    <n v="10"/>
    <x v="0"/>
    <x v="1"/>
    <x v="1"/>
    <x v="0"/>
    <n v="20"/>
    <n v="10"/>
    <x v="2"/>
  </r>
  <r>
    <n v="3366"/>
    <s v="Yolanda Freitas"/>
    <x v="1"/>
    <d v="2024-07-10T00:00:00"/>
    <x v="0"/>
    <n v="5"/>
    <x v="0"/>
    <x v="1"/>
    <x v="1"/>
    <x v="1"/>
    <n v="0"/>
    <n v="0"/>
    <x v="1"/>
  </r>
  <r>
    <n v="3367"/>
    <s v="Zacarias Nunes"/>
    <x v="0"/>
    <d v="2024-07-11T00:00:00"/>
    <x v="1"/>
    <n v="15"/>
    <x v="2"/>
    <x v="0"/>
    <x v="0"/>
    <x v="0"/>
    <n v="20"/>
    <n v="7"/>
    <x v="12"/>
  </r>
  <r>
    <n v="3368"/>
    <s v="Ana Clara Barreto"/>
    <x v="2"/>
    <d v="2024-07-12T00:00:00"/>
    <x v="0"/>
    <n v="10"/>
    <x v="1"/>
    <x v="1"/>
    <x v="1"/>
    <x v="0"/>
    <n v="20"/>
    <n v="10"/>
    <x v="2"/>
  </r>
  <r>
    <n v="3369"/>
    <s v="Bruno Henrique"/>
    <x v="1"/>
    <d v="2024-07-13T00:00:00"/>
    <x v="1"/>
    <n v="5"/>
    <x v="2"/>
    <x v="1"/>
    <x v="1"/>
    <x v="1"/>
    <n v="0"/>
    <n v="1"/>
    <x v="4"/>
  </r>
  <r>
    <n v="3370"/>
    <s v="Carlos Eduardo"/>
    <x v="0"/>
    <d v="2024-07-14T00:00:00"/>
    <x v="0"/>
    <n v="15"/>
    <x v="0"/>
    <x v="0"/>
    <x v="0"/>
    <x v="0"/>
    <n v="20"/>
    <n v="15"/>
    <x v="14"/>
  </r>
  <r>
    <n v="3371"/>
    <s v="Débora Lima"/>
    <x v="2"/>
    <d v="2024-07-15T00:00:00"/>
    <x v="1"/>
    <n v="10"/>
    <x v="0"/>
    <x v="1"/>
    <x v="1"/>
    <x v="0"/>
    <n v="20"/>
    <n v="5"/>
    <x v="13"/>
  </r>
  <r>
    <n v="3372"/>
    <s v="Elisa Neves"/>
    <x v="1"/>
    <d v="2024-07-16T00:00:00"/>
    <x v="0"/>
    <n v="5"/>
    <x v="1"/>
    <x v="1"/>
    <x v="1"/>
    <x v="1"/>
    <n v="0"/>
    <n v="0"/>
    <x v="1"/>
  </r>
  <r>
    <n v="3373"/>
    <s v="Fabiano Gomes"/>
    <x v="0"/>
    <d v="2024-07-17T00:00:00"/>
    <x v="1"/>
    <n v="15"/>
    <x v="2"/>
    <x v="0"/>
    <x v="0"/>
    <x v="0"/>
    <n v="20"/>
    <n v="20"/>
    <x v="8"/>
  </r>
  <r>
    <n v="3374"/>
    <s v="Gisele Oliveira"/>
    <x v="2"/>
    <d v="2024-07-18T00:00:00"/>
    <x v="0"/>
    <n v="10"/>
    <x v="2"/>
    <x v="1"/>
    <x v="1"/>
    <x v="0"/>
    <n v="20"/>
    <n v="12"/>
    <x v="10"/>
  </r>
  <r>
    <n v="3375"/>
    <s v="Héctor Silva"/>
    <x v="1"/>
    <d v="2024-07-19T00:00:00"/>
    <x v="1"/>
    <n v="5"/>
    <x v="0"/>
    <x v="1"/>
    <x v="1"/>
    <x v="1"/>
    <n v="0"/>
    <n v="2"/>
    <x v="11"/>
  </r>
  <r>
    <n v="3376"/>
    <s v="Igor Martins"/>
    <x v="0"/>
    <d v="2024-07-20T00:00:00"/>
    <x v="0"/>
    <n v="15"/>
    <x v="1"/>
    <x v="0"/>
    <x v="0"/>
    <x v="0"/>
    <n v="20"/>
    <n v="5"/>
    <x v="0"/>
  </r>
  <r>
    <n v="3377"/>
    <s v="Joana Figueiredo"/>
    <x v="2"/>
    <d v="2024-07-21T00:00:00"/>
    <x v="1"/>
    <n v="10"/>
    <x v="0"/>
    <x v="1"/>
    <x v="1"/>
    <x v="0"/>
    <n v="20"/>
    <n v="10"/>
    <x v="2"/>
  </r>
  <r>
    <n v="3378"/>
    <s v="Kleber Machado"/>
    <x v="1"/>
    <d v="2024-07-22T00:00:00"/>
    <x v="0"/>
    <n v="5"/>
    <x v="2"/>
    <x v="1"/>
    <x v="1"/>
    <x v="1"/>
    <n v="0"/>
    <n v="0"/>
    <x v="1"/>
  </r>
  <r>
    <n v="3379"/>
    <s v="Luciana Santos"/>
    <x v="0"/>
    <d v="2024-07-23T00:00:00"/>
    <x v="1"/>
    <n v="15"/>
    <x v="0"/>
    <x v="0"/>
    <x v="0"/>
    <x v="0"/>
    <n v="20"/>
    <n v="3"/>
    <x v="3"/>
  </r>
  <r>
    <n v="3380"/>
    <s v="Marcos Teixeira"/>
    <x v="2"/>
    <d v="2024-07-24T00:00:00"/>
    <x v="0"/>
    <n v="10"/>
    <x v="1"/>
    <x v="1"/>
    <x v="1"/>
    <x v="0"/>
    <n v="20"/>
    <n v="15"/>
    <x v="7"/>
  </r>
  <r>
    <n v="3381"/>
    <s v="Natalia Costa"/>
    <x v="1"/>
    <d v="2024-07-25T00:00:00"/>
    <x v="1"/>
    <n v="5"/>
    <x v="0"/>
    <x v="1"/>
    <x v="1"/>
    <x v="1"/>
    <n v="0"/>
    <n v="1"/>
    <x v="4"/>
  </r>
  <r>
    <n v="3382"/>
    <s v="Oscar Ribeiro"/>
    <x v="0"/>
    <d v="2024-07-26T00:00:00"/>
    <x v="0"/>
    <n v="15"/>
    <x v="2"/>
    <x v="0"/>
    <x v="0"/>
    <x v="0"/>
    <n v="20"/>
    <n v="7"/>
    <x v="12"/>
  </r>
  <r>
    <n v="3383"/>
    <s v="Patricia Almeida"/>
    <x v="2"/>
    <d v="2024-07-27T00:00:00"/>
    <x v="1"/>
    <n v="10"/>
    <x v="0"/>
    <x v="1"/>
    <x v="1"/>
    <x v="0"/>
    <n v="20"/>
    <n v="10"/>
    <x v="2"/>
  </r>
  <r>
    <n v="3384"/>
    <s v="Quirino Junior"/>
    <x v="1"/>
    <d v="2024-07-28T00:00:00"/>
    <x v="0"/>
    <n v="5"/>
    <x v="1"/>
    <x v="1"/>
    <x v="1"/>
    <x v="1"/>
    <n v="0"/>
    <n v="0"/>
    <x v="1"/>
  </r>
  <r>
    <n v="3385"/>
    <s v="Renata Machado"/>
    <x v="0"/>
    <d v="2024-07-29T00:00:00"/>
    <x v="1"/>
    <n v="15"/>
    <x v="0"/>
    <x v="0"/>
    <x v="0"/>
    <x v="0"/>
    <n v="20"/>
    <n v="20"/>
    <x v="8"/>
  </r>
  <r>
    <n v="3386"/>
    <s v="Sônia Alves"/>
    <x v="2"/>
    <d v="2024-07-30T00:00:00"/>
    <x v="0"/>
    <n v="10"/>
    <x v="2"/>
    <x v="1"/>
    <x v="1"/>
    <x v="0"/>
    <n v="20"/>
    <n v="15"/>
    <x v="7"/>
  </r>
  <r>
    <n v="3387"/>
    <s v="Tiago Nunes"/>
    <x v="1"/>
    <d v="2024-07-31T00:00:00"/>
    <x v="1"/>
    <n v="5"/>
    <x v="0"/>
    <x v="1"/>
    <x v="1"/>
    <x v="1"/>
    <n v="0"/>
    <n v="1"/>
    <x v="4"/>
  </r>
  <r>
    <n v="3388"/>
    <s v="Ulysses Pereira"/>
    <x v="0"/>
    <d v="2024-08-01T00:00:00"/>
    <x v="0"/>
    <n v="15"/>
    <x v="1"/>
    <x v="0"/>
    <x v="0"/>
    <x v="0"/>
    <n v="20"/>
    <n v="3"/>
    <x v="3"/>
  </r>
  <r>
    <n v="3389"/>
    <s v="Vanessa Lima"/>
    <x v="2"/>
    <d v="2024-08-02T00:00:00"/>
    <x v="1"/>
    <n v="10"/>
    <x v="0"/>
    <x v="1"/>
    <x v="1"/>
    <x v="0"/>
    <n v="20"/>
    <n v="10"/>
    <x v="2"/>
  </r>
  <r>
    <n v="3390"/>
    <s v="Wagner Santos"/>
    <x v="1"/>
    <d v="2024-08-03T00:00:00"/>
    <x v="0"/>
    <n v="5"/>
    <x v="2"/>
    <x v="1"/>
    <x v="1"/>
    <x v="1"/>
    <n v="0"/>
    <n v="0"/>
    <x v="1"/>
  </r>
  <r>
    <n v="3391"/>
    <s v="Xuxa Meneghel"/>
    <x v="0"/>
    <d v="2024-08-04T00:00:00"/>
    <x v="1"/>
    <n v="15"/>
    <x v="0"/>
    <x v="0"/>
    <x v="0"/>
    <x v="0"/>
    <n v="20"/>
    <n v="15"/>
    <x v="14"/>
  </r>
  <r>
    <n v="3392"/>
    <s v="Yasmin Silva"/>
    <x v="2"/>
    <d v="2024-08-05T00:00:00"/>
    <x v="0"/>
    <n v="10"/>
    <x v="1"/>
    <x v="1"/>
    <x v="1"/>
    <x v="0"/>
    <n v="20"/>
    <n v="15"/>
    <x v="7"/>
  </r>
  <r>
    <n v="3393"/>
    <s v="Zacarias de Souza"/>
    <x v="1"/>
    <d v="2024-08-06T00:00:00"/>
    <x v="1"/>
    <n v="5"/>
    <x v="0"/>
    <x v="1"/>
    <x v="1"/>
    <x v="1"/>
    <n v="0"/>
    <n v="1"/>
    <x v="4"/>
  </r>
  <r>
    <n v="3394"/>
    <s v="André Lima"/>
    <x v="0"/>
    <d v="2024-08-07T00:00:00"/>
    <x v="0"/>
    <n v="15"/>
    <x v="2"/>
    <x v="0"/>
    <x v="0"/>
    <x v="0"/>
    <n v="20"/>
    <n v="7"/>
    <x v="12"/>
  </r>
  <r>
    <n v="3395"/>
    <s v="Bianca Freitas"/>
    <x v="2"/>
    <d v="2024-08-08T00:00:00"/>
    <x v="1"/>
    <n v="10"/>
    <x v="0"/>
    <x v="1"/>
    <x v="1"/>
    <x v="0"/>
    <n v="20"/>
    <n v="10"/>
    <x v="2"/>
  </r>
  <r>
    <n v="3396"/>
    <s v="Caio Mendes"/>
    <x v="1"/>
    <d v="2024-08-09T00:00:00"/>
    <x v="0"/>
    <n v="5"/>
    <x v="1"/>
    <x v="1"/>
    <x v="1"/>
    <x v="1"/>
    <n v="0"/>
    <n v="0"/>
    <x v="1"/>
  </r>
  <r>
    <n v="3397"/>
    <s v="Daniela Moura"/>
    <x v="0"/>
    <d v="2024-08-10T00:00:00"/>
    <x v="1"/>
    <n v="15"/>
    <x v="0"/>
    <x v="0"/>
    <x v="0"/>
    <x v="0"/>
    <n v="20"/>
    <n v="20"/>
    <x v="8"/>
  </r>
  <r>
    <n v="3398"/>
    <s v="Eduardo Costa"/>
    <x v="2"/>
    <d v="2024-08-11T00:00:00"/>
    <x v="0"/>
    <n v="10"/>
    <x v="2"/>
    <x v="1"/>
    <x v="1"/>
    <x v="0"/>
    <n v="20"/>
    <n v="15"/>
    <x v="7"/>
  </r>
  <r>
    <n v="3399"/>
    <s v="Fernanda Gomes"/>
    <x v="1"/>
    <d v="2024-08-12T00:00:00"/>
    <x v="1"/>
    <n v="5"/>
    <x v="0"/>
    <x v="1"/>
    <x v="1"/>
    <x v="1"/>
    <n v="0"/>
    <n v="1"/>
    <x v="4"/>
  </r>
  <r>
    <n v="3400"/>
    <s v="Guilherme Souza"/>
    <x v="0"/>
    <d v="2024-08-13T00:00:00"/>
    <x v="0"/>
    <n v="15"/>
    <x v="1"/>
    <x v="0"/>
    <x v="0"/>
    <x v="0"/>
    <n v="20"/>
    <n v="5"/>
    <x v="0"/>
  </r>
  <r>
    <n v="3401"/>
    <s v="Helena Ribeiro"/>
    <x v="2"/>
    <d v="2024-08-14T00:00:00"/>
    <x v="1"/>
    <n v="10"/>
    <x v="0"/>
    <x v="1"/>
    <x v="1"/>
    <x v="0"/>
    <n v="20"/>
    <n v="10"/>
    <x v="2"/>
  </r>
  <r>
    <n v="3402"/>
    <s v="Igor Santos"/>
    <x v="1"/>
    <d v="2024-08-15T00:00:00"/>
    <x v="0"/>
    <n v="5"/>
    <x v="2"/>
    <x v="1"/>
    <x v="1"/>
    <x v="1"/>
    <n v="0"/>
    <n v="0"/>
    <x v="1"/>
  </r>
  <r>
    <n v="3403"/>
    <s v="João Carvalho"/>
    <x v="0"/>
    <d v="2024-08-16T00:00:00"/>
    <x v="1"/>
    <n v="15"/>
    <x v="0"/>
    <x v="0"/>
    <x v="0"/>
    <x v="0"/>
    <n v="20"/>
    <n v="3"/>
    <x v="3"/>
  </r>
  <r>
    <n v="3404"/>
    <s v="Klara Fagundes"/>
    <x v="2"/>
    <d v="2024-08-17T00:00:00"/>
    <x v="0"/>
    <n v="10"/>
    <x v="1"/>
    <x v="1"/>
    <x v="1"/>
    <x v="0"/>
    <n v="20"/>
    <n v="15"/>
    <x v="7"/>
  </r>
  <r>
    <n v="3405"/>
    <s v="Lúcia Mendonça"/>
    <x v="1"/>
    <d v="2024-08-18T00:00:00"/>
    <x v="1"/>
    <n v="5"/>
    <x v="0"/>
    <x v="1"/>
    <x v="1"/>
    <x v="1"/>
    <n v="0"/>
    <n v="1"/>
    <x v="4"/>
  </r>
  <r>
    <n v="3406"/>
    <s v="Marcelo Novaes"/>
    <x v="1"/>
    <d v="2024-08-19T00:00:00"/>
    <x v="0"/>
    <n v="5"/>
    <x v="0"/>
    <x v="1"/>
    <x v="1"/>
    <x v="1"/>
    <n v="0"/>
    <n v="0"/>
    <x v="1"/>
  </r>
  <r>
    <n v="3407"/>
    <s v="Nina Pacheco"/>
    <x v="0"/>
    <d v="2024-08-20T00:00:00"/>
    <x v="1"/>
    <n v="15"/>
    <x v="2"/>
    <x v="0"/>
    <x v="0"/>
    <x v="0"/>
    <n v="20"/>
    <n v="7"/>
    <x v="12"/>
  </r>
  <r>
    <n v="3408"/>
    <s v="Olívia Rios"/>
    <x v="2"/>
    <d v="2024-08-21T00:00:00"/>
    <x v="0"/>
    <n v="10"/>
    <x v="1"/>
    <x v="1"/>
    <x v="1"/>
    <x v="0"/>
    <n v="20"/>
    <n v="10"/>
    <x v="2"/>
  </r>
  <r>
    <n v="3409"/>
    <s v="Paulo Quintana"/>
    <x v="1"/>
    <d v="2024-08-22T00:00:00"/>
    <x v="1"/>
    <n v="5"/>
    <x v="2"/>
    <x v="1"/>
    <x v="1"/>
    <x v="1"/>
    <n v="0"/>
    <n v="1"/>
    <x v="4"/>
  </r>
  <r>
    <n v="3410"/>
    <s v="Raquel Domingos"/>
    <x v="0"/>
    <d v="2024-08-23T00:00:00"/>
    <x v="0"/>
    <n v="15"/>
    <x v="0"/>
    <x v="0"/>
    <x v="0"/>
    <x v="0"/>
    <n v="20"/>
    <n v="15"/>
    <x v="14"/>
  </r>
  <r>
    <n v="3411"/>
    <s v="Samuel Viana"/>
    <x v="2"/>
    <d v="2024-08-24T00:00:00"/>
    <x v="1"/>
    <n v="10"/>
    <x v="0"/>
    <x v="1"/>
    <x v="1"/>
    <x v="0"/>
    <n v="20"/>
    <n v="5"/>
    <x v="13"/>
  </r>
  <r>
    <n v="3412"/>
    <s v="Tatiane Rocha"/>
    <x v="1"/>
    <d v="2024-08-25T00:00:00"/>
    <x v="0"/>
    <n v="5"/>
    <x v="1"/>
    <x v="1"/>
    <x v="1"/>
    <x v="1"/>
    <n v="0"/>
    <n v="0"/>
    <x v="1"/>
  </r>
  <r>
    <n v="3413"/>
    <s v="Ulysses Farias"/>
    <x v="0"/>
    <d v="2024-08-26T00:00:00"/>
    <x v="1"/>
    <n v="15"/>
    <x v="2"/>
    <x v="0"/>
    <x v="0"/>
    <x v="0"/>
    <n v="20"/>
    <n v="20"/>
    <x v="8"/>
  </r>
  <r>
    <n v="3414"/>
    <s v="Vanessa Moreira"/>
    <x v="2"/>
    <d v="2024-08-27T00:00:00"/>
    <x v="0"/>
    <n v="10"/>
    <x v="2"/>
    <x v="1"/>
    <x v="1"/>
    <x v="0"/>
    <n v="20"/>
    <n v="12"/>
    <x v="10"/>
  </r>
  <r>
    <n v="3415"/>
    <s v="William Carvalho"/>
    <x v="1"/>
    <d v="2024-08-28T00:00:00"/>
    <x v="1"/>
    <n v="5"/>
    <x v="0"/>
    <x v="1"/>
    <x v="1"/>
    <x v="1"/>
    <n v="0"/>
    <n v="2"/>
    <x v="11"/>
  </r>
  <r>
    <n v="3416"/>
    <s v="Ximena Barros"/>
    <x v="0"/>
    <d v="2024-08-29T00:00:00"/>
    <x v="0"/>
    <n v="15"/>
    <x v="1"/>
    <x v="0"/>
    <x v="0"/>
    <x v="0"/>
    <n v="20"/>
    <n v="5"/>
    <x v="0"/>
  </r>
  <r>
    <n v="3417"/>
    <s v="Yara Machado"/>
    <x v="2"/>
    <d v="2024-08-30T00:00:00"/>
    <x v="1"/>
    <n v="10"/>
    <x v="0"/>
    <x v="1"/>
    <x v="1"/>
    <x v="0"/>
    <n v="20"/>
    <n v="10"/>
    <x v="2"/>
  </r>
  <r>
    <n v="3418"/>
    <s v="Zacarias Costa"/>
    <x v="1"/>
    <d v="2024-08-31T00:00:00"/>
    <x v="0"/>
    <n v="5"/>
    <x v="2"/>
    <x v="1"/>
    <x v="1"/>
    <x v="1"/>
    <n v="0"/>
    <n v="0"/>
    <x v="1"/>
  </r>
  <r>
    <n v="3419"/>
    <s v="André Lopes"/>
    <x v="0"/>
    <d v="2024-09-01T00:00:00"/>
    <x v="1"/>
    <n v="15"/>
    <x v="0"/>
    <x v="0"/>
    <x v="0"/>
    <x v="0"/>
    <n v="20"/>
    <n v="3"/>
    <x v="3"/>
  </r>
  <r>
    <n v="3420"/>
    <s v="Beatriz Souza"/>
    <x v="2"/>
    <d v="2024-09-02T00:00:00"/>
    <x v="0"/>
    <n v="10"/>
    <x v="1"/>
    <x v="1"/>
    <x v="1"/>
    <x v="0"/>
    <n v="20"/>
    <n v="15"/>
    <x v="7"/>
  </r>
  <r>
    <n v="3421"/>
    <s v="Caio Pereira"/>
    <x v="1"/>
    <d v="2024-09-03T00:00:00"/>
    <x v="1"/>
    <n v="5"/>
    <x v="0"/>
    <x v="1"/>
    <x v="1"/>
    <x v="1"/>
    <n v="0"/>
    <n v="1"/>
    <x v="4"/>
  </r>
  <r>
    <n v="3422"/>
    <s v="Daniela Araújo"/>
    <x v="0"/>
    <d v="2024-09-04T00:00:00"/>
    <x v="0"/>
    <n v="15"/>
    <x v="2"/>
    <x v="0"/>
    <x v="0"/>
    <x v="0"/>
    <n v="20"/>
    <n v="7"/>
    <x v="12"/>
  </r>
  <r>
    <n v="3423"/>
    <s v="Eduardo Santos"/>
    <x v="2"/>
    <d v="2024-09-05T00:00:00"/>
    <x v="1"/>
    <n v="10"/>
    <x v="0"/>
    <x v="1"/>
    <x v="1"/>
    <x v="0"/>
    <n v="20"/>
    <n v="10"/>
    <x v="2"/>
  </r>
  <r>
    <n v="3424"/>
    <s v="Fernanda Lima"/>
    <x v="1"/>
    <d v="2024-09-06T00:00:00"/>
    <x v="0"/>
    <n v="5"/>
    <x v="1"/>
    <x v="1"/>
    <x v="1"/>
    <x v="1"/>
    <n v="0"/>
    <n v="0"/>
    <x v="1"/>
  </r>
  <r>
    <n v="3425"/>
    <s v="Gabriel Teixeira"/>
    <x v="0"/>
    <d v="2024-09-07T00:00:00"/>
    <x v="1"/>
    <n v="15"/>
    <x v="0"/>
    <x v="0"/>
    <x v="0"/>
    <x v="0"/>
    <n v="20"/>
    <n v="20"/>
    <x v="8"/>
  </r>
  <r>
    <n v="3426"/>
    <s v="Helena Ribeiro"/>
    <x v="2"/>
    <d v="2024-09-08T00:00:00"/>
    <x v="0"/>
    <n v="10"/>
    <x v="2"/>
    <x v="1"/>
    <x v="1"/>
    <x v="0"/>
    <n v="20"/>
    <n v="15"/>
    <x v="7"/>
  </r>
  <r>
    <n v="3427"/>
    <s v="Igor Mendes"/>
    <x v="1"/>
    <d v="2024-09-09T00:00:00"/>
    <x v="1"/>
    <n v="5"/>
    <x v="0"/>
    <x v="1"/>
    <x v="1"/>
    <x v="1"/>
    <n v="0"/>
    <n v="1"/>
    <x v="4"/>
  </r>
  <r>
    <n v="3428"/>
    <s v="Joana Silveira"/>
    <x v="0"/>
    <d v="2024-09-10T00:00:00"/>
    <x v="0"/>
    <n v="15"/>
    <x v="1"/>
    <x v="0"/>
    <x v="0"/>
    <x v="0"/>
    <n v="20"/>
    <n v="3"/>
    <x v="3"/>
  </r>
  <r>
    <n v="3429"/>
    <s v="Lucas Martins"/>
    <x v="2"/>
    <d v="2024-09-11T00:00:00"/>
    <x v="1"/>
    <n v="10"/>
    <x v="0"/>
    <x v="1"/>
    <x v="1"/>
    <x v="0"/>
    <n v="20"/>
    <n v="10"/>
    <x v="2"/>
  </r>
  <r>
    <n v="3430"/>
    <s v="Marcela Gouveia"/>
    <x v="1"/>
    <d v="2024-09-12T00:00:00"/>
    <x v="0"/>
    <n v="5"/>
    <x v="2"/>
    <x v="1"/>
    <x v="1"/>
    <x v="1"/>
    <n v="0"/>
    <n v="0"/>
    <x v="1"/>
  </r>
  <r>
    <n v="3431"/>
    <s v="Nicolas Borges"/>
    <x v="0"/>
    <d v="2024-09-13T00:00:00"/>
    <x v="1"/>
    <n v="15"/>
    <x v="0"/>
    <x v="0"/>
    <x v="0"/>
    <x v="0"/>
    <n v="20"/>
    <n v="15"/>
    <x v="14"/>
  </r>
  <r>
    <n v="3432"/>
    <s v="Olivia Freitas"/>
    <x v="2"/>
    <d v="2024-09-14T00:00:00"/>
    <x v="0"/>
    <n v="10"/>
    <x v="1"/>
    <x v="1"/>
    <x v="1"/>
    <x v="0"/>
    <n v="20"/>
    <n v="15"/>
    <x v="7"/>
  </r>
  <r>
    <n v="3433"/>
    <s v="Paulo Nogueira"/>
    <x v="1"/>
    <d v="2024-09-15T00:00:00"/>
    <x v="1"/>
    <n v="5"/>
    <x v="0"/>
    <x v="1"/>
    <x v="1"/>
    <x v="1"/>
    <n v="0"/>
    <n v="1"/>
    <x v="4"/>
  </r>
  <r>
    <n v="3434"/>
    <s v="Raquel Andrade"/>
    <x v="0"/>
    <d v="2024-09-16T00:00:00"/>
    <x v="0"/>
    <n v="15"/>
    <x v="2"/>
    <x v="0"/>
    <x v="0"/>
    <x v="0"/>
    <n v="20"/>
    <n v="7"/>
    <x v="12"/>
  </r>
  <r>
    <n v="3435"/>
    <s v="Sônia Carvalho"/>
    <x v="2"/>
    <d v="2024-09-17T00:00:00"/>
    <x v="1"/>
    <n v="10"/>
    <x v="0"/>
    <x v="1"/>
    <x v="1"/>
    <x v="0"/>
    <n v="20"/>
    <n v="10"/>
    <x v="2"/>
  </r>
  <r>
    <n v="3436"/>
    <s v="Tiago Rodrigues"/>
    <x v="1"/>
    <d v="2024-09-18T00:00:00"/>
    <x v="0"/>
    <n v="5"/>
    <x v="0"/>
    <x v="1"/>
    <x v="1"/>
    <x v="1"/>
    <n v="0"/>
    <n v="0"/>
    <x v="1"/>
  </r>
  <r>
    <n v="3437"/>
    <s v="Ursula Monteiro"/>
    <x v="0"/>
    <d v="2024-09-19T00:00:00"/>
    <x v="1"/>
    <n v="15"/>
    <x v="2"/>
    <x v="0"/>
    <x v="0"/>
    <x v="0"/>
    <n v="20"/>
    <n v="7"/>
    <x v="12"/>
  </r>
  <r>
    <n v="3438"/>
    <s v="Vanessa Pereira"/>
    <x v="2"/>
    <d v="2024-09-20T00:00:00"/>
    <x v="0"/>
    <n v="10"/>
    <x v="1"/>
    <x v="1"/>
    <x v="1"/>
    <x v="0"/>
    <n v="20"/>
    <n v="10"/>
    <x v="2"/>
  </r>
  <r>
    <n v="3439"/>
    <s v="Walter Silva"/>
    <x v="1"/>
    <d v="2024-09-21T00:00:00"/>
    <x v="1"/>
    <n v="5"/>
    <x v="2"/>
    <x v="1"/>
    <x v="1"/>
    <x v="1"/>
    <n v="0"/>
    <n v="1"/>
    <x v="4"/>
  </r>
  <r>
    <n v="3440"/>
    <s v="Xavier Almeida"/>
    <x v="0"/>
    <d v="2024-09-22T00:00:00"/>
    <x v="0"/>
    <n v="15"/>
    <x v="0"/>
    <x v="0"/>
    <x v="0"/>
    <x v="0"/>
    <n v="20"/>
    <n v="15"/>
    <x v="14"/>
  </r>
  <r>
    <n v="3441"/>
    <s v="Yasmine Correia"/>
    <x v="2"/>
    <d v="2024-09-23T00:00:00"/>
    <x v="1"/>
    <n v="10"/>
    <x v="0"/>
    <x v="1"/>
    <x v="1"/>
    <x v="0"/>
    <n v="20"/>
    <n v="5"/>
    <x v="13"/>
  </r>
  <r>
    <n v="3442"/>
    <s v="Zacarias Almeida"/>
    <x v="1"/>
    <d v="2024-09-24T00:00:00"/>
    <x v="0"/>
    <n v="5"/>
    <x v="1"/>
    <x v="1"/>
    <x v="1"/>
    <x v="1"/>
    <n v="0"/>
    <n v="0"/>
    <x v="1"/>
  </r>
  <r>
    <n v="3443"/>
    <s v="Amanda Costa"/>
    <x v="0"/>
    <d v="2024-09-25T00:00:00"/>
    <x v="1"/>
    <n v="15"/>
    <x v="2"/>
    <x v="0"/>
    <x v="0"/>
    <x v="0"/>
    <n v="20"/>
    <n v="20"/>
    <x v="8"/>
  </r>
  <r>
    <n v="3444"/>
    <s v="Bruno Ferreira"/>
    <x v="2"/>
    <d v="2024-09-26T00:00:00"/>
    <x v="0"/>
    <n v="10"/>
    <x v="2"/>
    <x v="1"/>
    <x v="1"/>
    <x v="0"/>
    <n v="20"/>
    <n v="12"/>
    <x v="10"/>
  </r>
  <r>
    <n v="3445"/>
    <s v="Carla Dias"/>
    <x v="1"/>
    <d v="2024-09-27T00:00:00"/>
    <x v="1"/>
    <n v="5"/>
    <x v="0"/>
    <x v="1"/>
    <x v="1"/>
    <x v="1"/>
    <n v="0"/>
    <n v="2"/>
    <x v="11"/>
  </r>
  <r>
    <n v="3446"/>
    <s v="Diogo Martins"/>
    <x v="0"/>
    <d v="2024-09-28T00:00:00"/>
    <x v="0"/>
    <n v="15"/>
    <x v="1"/>
    <x v="0"/>
    <x v="0"/>
    <x v="0"/>
    <n v="20"/>
    <n v="5"/>
    <x v="0"/>
  </r>
  <r>
    <n v="3447"/>
    <s v="Elisa Campos"/>
    <x v="2"/>
    <d v="2024-09-29T00:00:00"/>
    <x v="1"/>
    <n v="10"/>
    <x v="0"/>
    <x v="1"/>
    <x v="1"/>
    <x v="0"/>
    <n v="20"/>
    <n v="10"/>
    <x v="2"/>
  </r>
  <r>
    <n v="3448"/>
    <s v="Fabiana Lima"/>
    <x v="1"/>
    <d v="2024-09-30T00:00:00"/>
    <x v="0"/>
    <n v="5"/>
    <x v="2"/>
    <x v="1"/>
    <x v="1"/>
    <x v="1"/>
    <n v="0"/>
    <n v="0"/>
    <x v="1"/>
  </r>
  <r>
    <n v="3449"/>
    <s v="Gabriel Santos"/>
    <x v="0"/>
    <d v="2024-10-01T00:00:00"/>
    <x v="1"/>
    <n v="15"/>
    <x v="0"/>
    <x v="0"/>
    <x v="0"/>
    <x v="0"/>
    <n v="20"/>
    <n v="3"/>
    <x v="3"/>
  </r>
  <r>
    <n v="3450"/>
    <s v="Helena Ferreira"/>
    <x v="2"/>
    <d v="2024-10-02T00:00:00"/>
    <x v="0"/>
    <n v="10"/>
    <x v="1"/>
    <x v="1"/>
    <x v="1"/>
    <x v="0"/>
    <n v="20"/>
    <n v="15"/>
    <x v="7"/>
  </r>
  <r>
    <n v="3451"/>
    <s v="Ígor Nunes"/>
    <x v="1"/>
    <d v="2024-10-03T00:00:00"/>
    <x v="1"/>
    <n v="5"/>
    <x v="0"/>
    <x v="1"/>
    <x v="1"/>
    <x v="1"/>
    <n v="0"/>
    <n v="1"/>
    <x v="4"/>
  </r>
  <r>
    <n v="3452"/>
    <s v="Joana Silveira"/>
    <x v="0"/>
    <d v="2024-10-04T00:00:00"/>
    <x v="0"/>
    <n v="15"/>
    <x v="2"/>
    <x v="0"/>
    <x v="0"/>
    <x v="0"/>
    <n v="20"/>
    <n v="7"/>
    <x v="12"/>
  </r>
  <r>
    <n v="3453"/>
    <s v="Kléber Oliveira"/>
    <x v="2"/>
    <d v="2024-10-05T00:00:00"/>
    <x v="1"/>
    <n v="10"/>
    <x v="0"/>
    <x v="1"/>
    <x v="1"/>
    <x v="0"/>
    <n v="20"/>
    <n v="10"/>
    <x v="2"/>
  </r>
  <r>
    <n v="3454"/>
    <s v="Luciana Morais"/>
    <x v="1"/>
    <d v="2024-10-06T00:00:00"/>
    <x v="0"/>
    <n v="5"/>
    <x v="1"/>
    <x v="1"/>
    <x v="1"/>
    <x v="1"/>
    <n v="0"/>
    <n v="0"/>
    <x v="1"/>
  </r>
  <r>
    <n v="3455"/>
    <s v="Marcos Vinícius"/>
    <x v="0"/>
    <d v="2024-10-07T00:00:00"/>
    <x v="1"/>
    <n v="15"/>
    <x v="0"/>
    <x v="0"/>
    <x v="0"/>
    <x v="0"/>
    <n v="20"/>
    <n v="20"/>
    <x v="8"/>
  </r>
  <r>
    <n v="3456"/>
    <s v="Natália Barros"/>
    <x v="2"/>
    <d v="2024-10-08T00:00:00"/>
    <x v="0"/>
    <n v="10"/>
    <x v="2"/>
    <x v="1"/>
    <x v="1"/>
    <x v="0"/>
    <n v="20"/>
    <n v="15"/>
    <x v="7"/>
  </r>
  <r>
    <n v="3457"/>
    <s v="Oscar Sampaio"/>
    <x v="1"/>
    <d v="2024-10-09T00:00:00"/>
    <x v="1"/>
    <n v="5"/>
    <x v="0"/>
    <x v="1"/>
    <x v="1"/>
    <x v="1"/>
    <n v="0"/>
    <n v="1"/>
    <x v="4"/>
  </r>
  <r>
    <n v="3458"/>
    <s v="Patrícia Leite"/>
    <x v="0"/>
    <d v="2024-10-10T00:00:00"/>
    <x v="0"/>
    <n v="15"/>
    <x v="1"/>
    <x v="0"/>
    <x v="0"/>
    <x v="0"/>
    <n v="20"/>
    <n v="3"/>
    <x v="3"/>
  </r>
  <r>
    <n v="3459"/>
    <s v="Quênia Rocha"/>
    <x v="2"/>
    <d v="2024-10-11T00:00:00"/>
    <x v="1"/>
    <n v="10"/>
    <x v="0"/>
    <x v="1"/>
    <x v="1"/>
    <x v="0"/>
    <n v="20"/>
    <n v="10"/>
    <x v="2"/>
  </r>
  <r>
    <n v="3460"/>
    <s v="Rafael Torres"/>
    <x v="1"/>
    <d v="2024-10-12T00:00:00"/>
    <x v="0"/>
    <n v="5"/>
    <x v="2"/>
    <x v="1"/>
    <x v="1"/>
    <x v="1"/>
    <n v="0"/>
    <n v="0"/>
    <x v="1"/>
  </r>
  <r>
    <n v="3461"/>
    <s v="Sandra Gouveia"/>
    <x v="0"/>
    <d v="2024-10-13T00:00:00"/>
    <x v="1"/>
    <n v="15"/>
    <x v="0"/>
    <x v="0"/>
    <x v="0"/>
    <x v="0"/>
    <n v="20"/>
    <n v="15"/>
    <x v="14"/>
  </r>
  <r>
    <n v="3462"/>
    <s v="Tiago Lacerda"/>
    <x v="2"/>
    <d v="2024-10-14T00:00:00"/>
    <x v="0"/>
    <n v="10"/>
    <x v="1"/>
    <x v="1"/>
    <x v="1"/>
    <x v="0"/>
    <n v="20"/>
    <n v="15"/>
    <x v="7"/>
  </r>
  <r>
    <n v="3463"/>
    <s v="Ursula Fonseca"/>
    <x v="1"/>
    <d v="2024-10-15T00:00:00"/>
    <x v="1"/>
    <n v="5"/>
    <x v="0"/>
    <x v="1"/>
    <x v="1"/>
    <x v="1"/>
    <n v="0"/>
    <n v="1"/>
    <x v="4"/>
  </r>
  <r>
    <n v="3464"/>
    <s v="Vanessa Andrade"/>
    <x v="0"/>
    <d v="2024-10-16T00:00:00"/>
    <x v="0"/>
    <n v="15"/>
    <x v="2"/>
    <x v="0"/>
    <x v="0"/>
    <x v="0"/>
    <n v="20"/>
    <n v="7"/>
    <x v="12"/>
  </r>
  <r>
    <n v="3465"/>
    <s v="William Castro"/>
    <x v="2"/>
    <d v="2024-10-17T00:00:00"/>
    <x v="1"/>
    <n v="10"/>
    <x v="0"/>
    <x v="1"/>
    <x v="1"/>
    <x v="0"/>
    <n v="20"/>
    <n v="10"/>
    <x v="2"/>
  </r>
  <r>
    <n v="3466"/>
    <s v="Xavier Monteiro"/>
    <x v="1"/>
    <d v="2024-10-18T00:00:00"/>
    <x v="0"/>
    <n v="5"/>
    <x v="1"/>
    <x v="1"/>
    <x v="1"/>
    <x v="1"/>
    <n v="0"/>
    <n v="0"/>
    <x v="1"/>
  </r>
  <r>
    <n v="3467"/>
    <s v="Yasmin Figueira"/>
    <x v="0"/>
    <d v="2024-10-19T00:00:00"/>
    <x v="1"/>
    <n v="15"/>
    <x v="0"/>
    <x v="0"/>
    <x v="0"/>
    <x v="0"/>
    <n v="20"/>
    <n v="15"/>
    <x v="14"/>
  </r>
  <r>
    <n v="3468"/>
    <s v="Zacarias Mendonça"/>
    <x v="2"/>
    <d v="2024-10-20T00:00:00"/>
    <x v="0"/>
    <n v="10"/>
    <x v="2"/>
    <x v="1"/>
    <x v="1"/>
    <x v="0"/>
    <n v="20"/>
    <n v="12"/>
    <x v="10"/>
  </r>
  <r>
    <n v="3469"/>
    <s v="Amanda Menezes"/>
    <x v="1"/>
    <d v="2024-10-21T00:00:00"/>
    <x v="1"/>
    <n v="5"/>
    <x v="0"/>
    <x v="1"/>
    <x v="1"/>
    <x v="1"/>
    <n v="0"/>
    <n v="2"/>
    <x v="11"/>
  </r>
  <r>
    <n v="3470"/>
    <s v="Bruno Santos"/>
    <x v="0"/>
    <d v="2024-10-22T00:00:00"/>
    <x v="0"/>
    <n v="15"/>
    <x v="1"/>
    <x v="0"/>
    <x v="0"/>
    <x v="0"/>
    <n v="20"/>
    <n v="5"/>
    <x v="0"/>
  </r>
  <r>
    <n v="3471"/>
    <s v="Carla Ferreira"/>
    <x v="2"/>
    <d v="2024-10-23T00:00:00"/>
    <x v="1"/>
    <n v="10"/>
    <x v="0"/>
    <x v="1"/>
    <x v="1"/>
    <x v="0"/>
    <n v="20"/>
    <n v="10"/>
    <x v="2"/>
  </r>
  <r>
    <n v="3472"/>
    <s v="Diogo Alves"/>
    <x v="1"/>
    <d v="2024-10-24T00:00:00"/>
    <x v="0"/>
    <n v="5"/>
    <x v="2"/>
    <x v="1"/>
    <x v="1"/>
    <x v="1"/>
    <n v="0"/>
    <n v="0"/>
    <x v="1"/>
  </r>
  <r>
    <n v="3473"/>
    <s v="Elisa Neves"/>
    <x v="0"/>
    <d v="2024-10-25T00:00:00"/>
    <x v="1"/>
    <n v="15"/>
    <x v="0"/>
    <x v="0"/>
    <x v="0"/>
    <x v="0"/>
    <n v="20"/>
    <n v="3"/>
    <x v="3"/>
  </r>
  <r>
    <n v="3474"/>
    <s v="Fabiano Pires"/>
    <x v="2"/>
    <d v="2024-10-26T00:00:00"/>
    <x v="0"/>
    <n v="10"/>
    <x v="1"/>
    <x v="1"/>
    <x v="1"/>
    <x v="0"/>
    <n v="20"/>
    <n v="15"/>
    <x v="7"/>
  </r>
  <r>
    <n v="3475"/>
    <s v="Giovana Ribeiro"/>
    <x v="1"/>
    <d v="2024-10-27T00:00:00"/>
    <x v="1"/>
    <n v="5"/>
    <x v="0"/>
    <x v="1"/>
    <x v="1"/>
    <x v="1"/>
    <n v="0"/>
    <n v="1"/>
    <x v="4"/>
  </r>
  <r>
    <n v="3476"/>
    <s v="Hélio Costa"/>
    <x v="0"/>
    <d v="2024-10-28T00:00:00"/>
    <x v="0"/>
    <n v="15"/>
    <x v="2"/>
    <x v="0"/>
    <x v="0"/>
    <x v="0"/>
    <n v="20"/>
    <n v="7"/>
    <x v="12"/>
  </r>
  <r>
    <n v="3477"/>
    <s v="Íris Loureiro"/>
    <x v="2"/>
    <d v="2024-10-29T00:00:00"/>
    <x v="1"/>
    <n v="10"/>
    <x v="0"/>
    <x v="1"/>
    <x v="1"/>
    <x v="0"/>
    <n v="20"/>
    <n v="10"/>
    <x v="2"/>
  </r>
  <r>
    <n v="3478"/>
    <s v="João Pereira"/>
    <x v="1"/>
    <d v="2024-10-30T00:00:00"/>
    <x v="0"/>
    <n v="5"/>
    <x v="1"/>
    <x v="1"/>
    <x v="1"/>
    <x v="1"/>
    <n v="0"/>
    <n v="0"/>
    <x v="1"/>
  </r>
  <r>
    <n v="3479"/>
    <s v="Klara Silva"/>
    <x v="0"/>
    <d v="2024-10-31T00:00:00"/>
    <x v="1"/>
    <n v="15"/>
    <x v="0"/>
    <x v="0"/>
    <x v="0"/>
    <x v="0"/>
    <n v="20"/>
    <n v="20"/>
    <x v="8"/>
  </r>
  <r>
    <n v="3480"/>
    <s v="Luciana Barros"/>
    <x v="2"/>
    <d v="2024-11-01T00:00:00"/>
    <x v="0"/>
    <n v="10"/>
    <x v="2"/>
    <x v="1"/>
    <x v="1"/>
    <x v="0"/>
    <n v="20"/>
    <n v="15"/>
    <x v="7"/>
  </r>
  <r>
    <n v="3481"/>
    <s v="Marcos Gomes"/>
    <x v="1"/>
    <d v="2024-11-02T00:00:00"/>
    <x v="1"/>
    <n v="5"/>
    <x v="0"/>
    <x v="1"/>
    <x v="1"/>
    <x v="1"/>
    <n v="0"/>
    <n v="1"/>
    <x v="4"/>
  </r>
  <r>
    <n v="3482"/>
    <s v="Natália Soares"/>
    <x v="0"/>
    <d v="2024-11-03T00:00:00"/>
    <x v="0"/>
    <n v="15"/>
    <x v="1"/>
    <x v="0"/>
    <x v="0"/>
    <x v="0"/>
    <n v="20"/>
    <n v="3"/>
    <x v="3"/>
  </r>
  <r>
    <n v="3483"/>
    <s v="Oscar Machado"/>
    <x v="2"/>
    <d v="2024-11-04T00:00:00"/>
    <x v="1"/>
    <n v="10"/>
    <x v="0"/>
    <x v="1"/>
    <x v="1"/>
    <x v="0"/>
    <n v="20"/>
    <n v="10"/>
    <x v="2"/>
  </r>
  <r>
    <n v="3484"/>
    <s v="Patrícia Lima"/>
    <x v="1"/>
    <d v="2024-11-05T00:00:00"/>
    <x v="0"/>
    <n v="5"/>
    <x v="2"/>
    <x v="1"/>
    <x v="1"/>
    <x v="1"/>
    <n v="0"/>
    <n v="0"/>
    <x v="1"/>
  </r>
  <r>
    <n v="3485"/>
    <s v="Quirino Neto"/>
    <x v="0"/>
    <d v="2024-11-06T00:00:00"/>
    <x v="1"/>
    <n v="15"/>
    <x v="0"/>
    <x v="0"/>
    <x v="0"/>
    <x v="0"/>
    <n v="20"/>
    <n v="15"/>
    <x v="14"/>
  </r>
  <r>
    <n v="3486"/>
    <s v="Rafaela Souza"/>
    <x v="1"/>
    <d v="2024-11-07T00:00:00"/>
    <x v="0"/>
    <n v="5"/>
    <x v="0"/>
    <x v="1"/>
    <x v="1"/>
    <x v="1"/>
    <n v="0"/>
    <n v="0"/>
    <x v="1"/>
  </r>
  <r>
    <n v="3487"/>
    <s v="Sandro Almeida"/>
    <x v="0"/>
    <d v="2024-11-08T00:00:00"/>
    <x v="1"/>
    <n v="15"/>
    <x v="2"/>
    <x v="0"/>
    <x v="0"/>
    <x v="0"/>
    <n v="20"/>
    <n v="7"/>
    <x v="12"/>
  </r>
  <r>
    <n v="3488"/>
    <s v="Tânia Ribeiro"/>
    <x v="2"/>
    <d v="2024-11-09T00:00:00"/>
    <x v="0"/>
    <n v="10"/>
    <x v="1"/>
    <x v="1"/>
    <x v="1"/>
    <x v="0"/>
    <n v="20"/>
    <n v="10"/>
    <x v="2"/>
  </r>
  <r>
    <n v="3489"/>
    <s v="Ugo Dias"/>
    <x v="1"/>
    <d v="2024-11-10T00:00:00"/>
    <x v="1"/>
    <n v="5"/>
    <x v="2"/>
    <x v="1"/>
    <x v="1"/>
    <x v="1"/>
    <n v="0"/>
    <n v="1"/>
    <x v="4"/>
  </r>
  <r>
    <n v="3490"/>
    <s v="Valéria Lima"/>
    <x v="0"/>
    <d v="2024-11-11T00:00:00"/>
    <x v="0"/>
    <n v="15"/>
    <x v="0"/>
    <x v="0"/>
    <x v="0"/>
    <x v="0"/>
    <n v="20"/>
    <n v="15"/>
    <x v="14"/>
  </r>
  <r>
    <n v="3491"/>
    <s v="William Fernandes"/>
    <x v="2"/>
    <d v="2024-11-12T00:00:00"/>
    <x v="1"/>
    <n v="10"/>
    <x v="0"/>
    <x v="1"/>
    <x v="1"/>
    <x v="0"/>
    <n v="20"/>
    <n v="5"/>
    <x v="13"/>
  </r>
  <r>
    <n v="3492"/>
    <s v="Xuxa Mendes"/>
    <x v="1"/>
    <d v="2024-11-13T00:00:00"/>
    <x v="0"/>
    <n v="5"/>
    <x v="1"/>
    <x v="1"/>
    <x v="1"/>
    <x v="1"/>
    <n v="0"/>
    <n v="0"/>
    <x v="1"/>
  </r>
  <r>
    <n v="3493"/>
    <s v="Ygor Farias"/>
    <x v="0"/>
    <d v="2024-11-14T00:00:00"/>
    <x v="1"/>
    <n v="15"/>
    <x v="2"/>
    <x v="0"/>
    <x v="0"/>
    <x v="0"/>
    <n v="20"/>
    <n v="20"/>
    <x v="8"/>
  </r>
  <r>
    <n v="3494"/>
    <s v="Zilda Barros"/>
    <x v="2"/>
    <d v="2024-11-15T00:00:00"/>
    <x v="0"/>
    <n v="10"/>
    <x v="2"/>
    <x v="1"/>
    <x v="1"/>
    <x v="0"/>
    <n v="20"/>
    <n v="12"/>
    <x v="10"/>
  </r>
  <r>
    <n v="3495"/>
    <s v="Amanda Santos"/>
    <x v="1"/>
    <d v="2024-11-16T00:00:00"/>
    <x v="1"/>
    <n v="5"/>
    <x v="0"/>
    <x v="1"/>
    <x v="1"/>
    <x v="1"/>
    <n v="0"/>
    <n v="2"/>
    <x v="11"/>
  </r>
  <r>
    <n v="3496"/>
    <s v="Bruno Costa"/>
    <x v="0"/>
    <d v="2024-11-17T00:00:00"/>
    <x v="0"/>
    <n v="15"/>
    <x v="1"/>
    <x v="0"/>
    <x v="0"/>
    <x v="0"/>
    <n v="20"/>
    <n v="5"/>
    <x v="0"/>
  </r>
  <r>
    <n v="3497"/>
    <s v="Carla Rodrigues"/>
    <x v="2"/>
    <d v="2024-11-18T00:00:00"/>
    <x v="1"/>
    <n v="10"/>
    <x v="0"/>
    <x v="1"/>
    <x v="1"/>
    <x v="0"/>
    <n v="20"/>
    <n v="10"/>
    <x v="2"/>
  </r>
  <r>
    <n v="3498"/>
    <s v="Diogo Pereira"/>
    <x v="1"/>
    <d v="2024-11-19T00:00:00"/>
    <x v="0"/>
    <n v="5"/>
    <x v="2"/>
    <x v="1"/>
    <x v="1"/>
    <x v="1"/>
    <n v="0"/>
    <n v="0"/>
    <x v="1"/>
  </r>
  <r>
    <n v="3499"/>
    <s v="Elisa Correia"/>
    <x v="0"/>
    <d v="2024-11-20T00:00:00"/>
    <x v="1"/>
    <n v="15"/>
    <x v="0"/>
    <x v="0"/>
    <x v="0"/>
    <x v="0"/>
    <n v="20"/>
    <n v="3"/>
    <x v="3"/>
  </r>
  <r>
    <n v="3500"/>
    <s v="Fábio Lourenço"/>
    <x v="2"/>
    <d v="2024-11-21T00:00:00"/>
    <x v="0"/>
    <n v="10"/>
    <x v="1"/>
    <x v="1"/>
    <x v="1"/>
    <x v="0"/>
    <n v="20"/>
    <n v="15"/>
    <x v="7"/>
  </r>
  <r>
    <n v="3501"/>
    <s v="Gabriela Neves"/>
    <x v="1"/>
    <d v="2024-11-22T00:00:00"/>
    <x v="1"/>
    <n v="5"/>
    <x v="0"/>
    <x v="1"/>
    <x v="1"/>
    <x v="1"/>
    <n v="0"/>
    <n v="1"/>
    <x v="4"/>
  </r>
  <r>
    <n v="3502"/>
    <s v="Henrique Gonçalves"/>
    <x v="0"/>
    <d v="2024-11-23T00:00:00"/>
    <x v="0"/>
    <n v="15"/>
    <x v="2"/>
    <x v="0"/>
    <x v="0"/>
    <x v="0"/>
    <n v="20"/>
    <n v="7"/>
    <x v="12"/>
  </r>
  <r>
    <n v="3503"/>
    <s v="Íris Santos"/>
    <x v="2"/>
    <d v="2024-11-24T00:00:00"/>
    <x v="1"/>
    <n v="10"/>
    <x v="0"/>
    <x v="1"/>
    <x v="1"/>
    <x v="0"/>
    <n v="20"/>
    <n v="10"/>
    <x v="2"/>
  </r>
  <r>
    <n v="3504"/>
    <s v="João Marcelo Alves"/>
    <x v="1"/>
    <d v="2024-11-25T00:00:00"/>
    <x v="0"/>
    <n v="5"/>
    <x v="1"/>
    <x v="1"/>
    <x v="1"/>
    <x v="1"/>
    <n v="0"/>
    <n v="0"/>
    <x v="1"/>
  </r>
  <r>
    <n v="3505"/>
    <s v="Klara Fonseca"/>
    <x v="0"/>
    <d v="2024-11-26T00:00:00"/>
    <x v="1"/>
    <n v="15"/>
    <x v="0"/>
    <x v="0"/>
    <x v="0"/>
    <x v="0"/>
    <n v="20"/>
    <n v="20"/>
    <x v="8"/>
  </r>
  <r>
    <n v="3506"/>
    <s v="Lucas Mendonça"/>
    <x v="2"/>
    <d v="2024-11-27T00:00:00"/>
    <x v="0"/>
    <n v="10"/>
    <x v="2"/>
    <x v="1"/>
    <x v="1"/>
    <x v="0"/>
    <n v="20"/>
    <n v="15"/>
    <x v="7"/>
  </r>
  <r>
    <n v="3507"/>
    <s v="Marcela Torres"/>
    <x v="1"/>
    <d v="2024-11-28T00:00:00"/>
    <x v="1"/>
    <n v="5"/>
    <x v="0"/>
    <x v="1"/>
    <x v="1"/>
    <x v="1"/>
    <n v="0"/>
    <n v="1"/>
    <x v="4"/>
  </r>
  <r>
    <n v="3508"/>
    <s v="Natália Castro"/>
    <x v="0"/>
    <d v="2024-11-29T00:00:00"/>
    <x v="0"/>
    <n v="15"/>
    <x v="1"/>
    <x v="0"/>
    <x v="0"/>
    <x v="0"/>
    <n v="20"/>
    <n v="3"/>
    <x v="3"/>
  </r>
  <r>
    <n v="3509"/>
    <s v="Oscar Martins"/>
    <x v="2"/>
    <d v="2024-11-30T00:00:00"/>
    <x v="1"/>
    <n v="10"/>
    <x v="0"/>
    <x v="1"/>
    <x v="1"/>
    <x v="0"/>
    <n v="20"/>
    <n v="10"/>
    <x v="2"/>
  </r>
  <r>
    <n v="3510"/>
    <s v="Patrícia Oliveira"/>
    <x v="1"/>
    <d v="2024-12-01T00:00:00"/>
    <x v="0"/>
    <n v="5"/>
    <x v="2"/>
    <x v="1"/>
    <x v="1"/>
    <x v="1"/>
    <n v="0"/>
    <n v="0"/>
    <x v="1"/>
  </r>
  <r>
    <n v="3511"/>
    <s v="Quentin Nogueira"/>
    <x v="0"/>
    <d v="2024-12-02T00:00:00"/>
    <x v="1"/>
    <n v="15"/>
    <x v="0"/>
    <x v="0"/>
    <x v="0"/>
    <x v="0"/>
    <n v="20"/>
    <n v="15"/>
    <x v="14"/>
  </r>
  <r>
    <n v="3512"/>
    <s v="Raquel Silva"/>
    <x v="2"/>
    <d v="2024-12-03T00:00:00"/>
    <x v="0"/>
    <n v="10"/>
    <x v="1"/>
    <x v="1"/>
    <x v="1"/>
    <x v="0"/>
    <n v="20"/>
    <n v="15"/>
    <x v="7"/>
  </r>
  <r>
    <n v="3513"/>
    <s v="Sandro Gomes"/>
    <x v="1"/>
    <d v="2024-12-04T00:00:00"/>
    <x v="1"/>
    <n v="5"/>
    <x v="0"/>
    <x v="1"/>
    <x v="1"/>
    <x v="1"/>
    <n v="0"/>
    <n v="1"/>
    <x v="4"/>
  </r>
  <r>
    <n v="3514"/>
    <s v="Tânia Machado"/>
    <x v="0"/>
    <d v="2024-12-05T00:00:00"/>
    <x v="0"/>
    <n v="15"/>
    <x v="2"/>
    <x v="0"/>
    <x v="0"/>
    <x v="0"/>
    <n v="20"/>
    <n v="7"/>
    <x v="12"/>
  </r>
  <r>
    <n v="3515"/>
    <s v="Ursula Silva"/>
    <x v="2"/>
    <d v="2024-12-06T00:00:00"/>
    <x v="1"/>
    <n v="10"/>
    <x v="0"/>
    <x v="1"/>
    <x v="1"/>
    <x v="0"/>
    <n v="20"/>
    <n v="10"/>
    <x v="2"/>
  </r>
  <r>
    <n v="3516"/>
    <s v="Vanessa Moraes"/>
    <x v="1"/>
    <d v="2024-12-07T00:00:00"/>
    <x v="0"/>
    <n v="5"/>
    <x v="1"/>
    <x v="1"/>
    <x v="1"/>
    <x v="1"/>
    <n v="0"/>
    <n v="0"/>
    <x v="1"/>
  </r>
  <r>
    <n v="3517"/>
    <s v="William Carvalho"/>
    <x v="0"/>
    <d v="2024-12-08T00:00:00"/>
    <x v="1"/>
    <n v="15"/>
    <x v="0"/>
    <x v="0"/>
    <x v="0"/>
    <x v="0"/>
    <n v="20"/>
    <n v="20"/>
    <x v="8"/>
  </r>
  <r>
    <n v="3518"/>
    <s v="Xavier Reis"/>
    <x v="2"/>
    <d v="2024-12-09T00:00:00"/>
    <x v="0"/>
    <n v="10"/>
    <x v="2"/>
    <x v="1"/>
    <x v="1"/>
    <x v="0"/>
    <n v="20"/>
    <n v="12"/>
    <x v="10"/>
  </r>
  <r>
    <n v="3519"/>
    <s v="Yasmin Rocha"/>
    <x v="1"/>
    <d v="2024-12-10T00:00:00"/>
    <x v="1"/>
    <n v="5"/>
    <x v="0"/>
    <x v="1"/>
    <x v="1"/>
    <x v="1"/>
    <n v="0"/>
    <n v="2"/>
    <x v="11"/>
  </r>
  <r>
    <n v="3520"/>
    <s v="Zacarias Duarte"/>
    <x v="0"/>
    <d v="2024-12-11T00:00:00"/>
    <x v="0"/>
    <n v="15"/>
    <x v="1"/>
    <x v="0"/>
    <x v="0"/>
    <x v="0"/>
    <n v="20"/>
    <n v="5"/>
    <x v="0"/>
  </r>
  <r>
    <n v="3521"/>
    <s v="Amanda Freitas"/>
    <x v="2"/>
    <d v="2024-12-12T00:00:00"/>
    <x v="1"/>
    <n v="10"/>
    <x v="0"/>
    <x v="1"/>
    <x v="1"/>
    <x v="0"/>
    <n v="20"/>
    <n v="10"/>
    <x v="2"/>
  </r>
  <r>
    <n v="3522"/>
    <s v="Bruno Almeida"/>
    <x v="1"/>
    <d v="2024-12-13T00:00:00"/>
    <x v="0"/>
    <n v="5"/>
    <x v="2"/>
    <x v="1"/>
    <x v="1"/>
    <x v="1"/>
    <n v="0"/>
    <n v="0"/>
    <x v="1"/>
  </r>
  <r>
    <n v="3523"/>
    <s v="Carla Siqueira"/>
    <x v="0"/>
    <d v="2024-12-14T00:00:00"/>
    <x v="1"/>
    <n v="15"/>
    <x v="0"/>
    <x v="0"/>
    <x v="0"/>
    <x v="0"/>
    <n v="20"/>
    <n v="3"/>
    <x v="3"/>
  </r>
  <r>
    <n v="3524"/>
    <s v="Diogo Ramos"/>
    <x v="2"/>
    <d v="2024-12-15T00:00:00"/>
    <x v="0"/>
    <n v="10"/>
    <x v="1"/>
    <x v="1"/>
    <x v="1"/>
    <x v="0"/>
    <n v="20"/>
    <n v="15"/>
    <x v="7"/>
  </r>
  <r>
    <n v="3525"/>
    <s v="Elisa Magalhães"/>
    <x v="1"/>
    <d v="2024-12-16T00:00:00"/>
    <x v="1"/>
    <n v="5"/>
    <x v="0"/>
    <x v="1"/>
    <x v="1"/>
    <x v="1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C886B4-2C41-4BCA-9CD3-040110EAC606}" name="Tabela dinâ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36:D4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multipleItemSelectionAllowed="1"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2">
    <field x="2"/>
    <field x="4"/>
  </rowFields>
  <rowItems count="7"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pageFields count="1">
    <pageField fld="9" item="1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05C73-102F-435C-980D-3A5AA0A3FC33}" name="Tabela dinâ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26:D28" firstHeaderRow="1" firstDataRow="1" firstDataCol="1" rowPageCount="2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Page"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2">
    <i>
      <x v="2"/>
    </i>
    <i t="grand">
      <x/>
    </i>
  </rowItems>
  <colItems count="1">
    <i/>
  </colItems>
  <pageFields count="2">
    <pageField fld="7" item="1" hier="-1"/>
    <pageField fld="6" hier="-1"/>
  </pageFields>
  <dataFields count="1">
    <dataField name="Soma de EA Play Season Pass" fld="8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141FE-9140-4886-A2E0-8668EDF5EC5E}" name="tbl_vendasanaual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13:D16" firstHeaderRow="1" firstDataRow="1" firstDataCol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/>
  </dataFields>
  <formats count="2">
    <format dxfId="57">
      <pivotArea collapsedLevelsAreSubtotals="1" fieldPosition="0">
        <references count="1">
          <reference field="4" count="1">
            <x v="1"/>
          </reference>
        </references>
      </pivotArea>
    </format>
    <format dxfId="56">
      <pivotArea collapsedLevelsAreSubtotals="1" fieldPosition="0">
        <references count="1">
          <reference field="4" count="1">
            <x v="0"/>
          </reference>
        </references>
      </pivotArea>
    </format>
  </format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1D2E028-7184-4C99-8BC0-FDBAE055ACEC}" sourceName="Subscription Type">
  <pivotTables>
    <pivotTable tabId="3" name="tbl_vendasanaual"/>
    <pivotTable tabId="3" name="Tabela dinâmica2"/>
    <pivotTable tabId="3" name="Tabela dinâmica3"/>
  </pivotTables>
  <data>
    <tabular pivotCacheId="1619610422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CB8AE45-FAD7-4946-8AB2-45CAF6FC6A35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74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73"/>
    <tableColumn id="2" xr3:uid="{53DD39D0-2220-4121-9E9D-4EAA7E151C0F}" name="Name" dataDxfId="72"/>
    <tableColumn id="3" xr3:uid="{4F5FF271-4C57-4BE0-8F2C-F82C8551625C}" name="Plan" dataDxfId="71"/>
    <tableColumn id="4" xr3:uid="{8C17EB93-79B9-4E55-B8F7-BEB82F8253E9}" name="Start Date" dataDxfId="70"/>
    <tableColumn id="5" xr3:uid="{48CEDF9B-1689-482A-A828-5CCE7713264A}" name="Auto Renewal" dataDxfId="69"/>
    <tableColumn id="6" xr3:uid="{78B82374-9AA7-4E38-AE4F-78CDE6C83720}" name="Subscription Price" dataDxfId="68" dataCellStyle="Moeda"/>
    <tableColumn id="7" xr3:uid="{F2433F68-AF33-49D0-B1FB-19A396074EDE}" name="Subscription Type" dataDxfId="67"/>
    <tableColumn id="8" xr3:uid="{FD4D9C95-F6E5-4933-9068-A71FF7DF9343}" name="EA Play Season Pass" dataDxfId="66"/>
    <tableColumn id="13" xr3:uid="{978DD0D2-834E-4CE4-A39B-30976086932F}" name="EA Play Season Pass_x000a_Price" dataDxfId="65" dataCellStyle="Moeda"/>
    <tableColumn id="9" xr3:uid="{6E29F111-C395-4580-9DAD-3407D9E8B1A4}" name="Minecraft Season Pass" dataDxfId="64"/>
    <tableColumn id="10" xr3:uid="{EF544EAA-7F25-4FD5-A10E-8E62804DB9E3}" name="Minecraft Season Pass Price" dataDxfId="63" dataCellStyle="Moeda"/>
    <tableColumn id="11" xr3:uid="{7F6EB64A-1F07-4E48-9F0F-AC7D9DCD26F8}" name="Coupon Value" dataDxfId="62" dataCellStyle="Moeda"/>
    <tableColumn id="12" xr3:uid="{2B04ABC8-DE6F-426E-ADC0-D8AFC68CA58E}" name="Total Value" dataDxfId="61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1E586F-4325-4559-8497-888EAA24824C}" name="Tabela2" displayName="Tabela2" ref="A1:M21" totalsRowShown="0">
  <autoFilter ref="A1:M21" xr:uid="{091E586F-4325-4559-8497-888EAA24824C}"/>
  <tableColumns count="13">
    <tableColumn id="1" xr3:uid="{AC8688D8-82C6-43C7-B744-8CB59AFBF8BA}" name="Subscriber ID"/>
    <tableColumn id="2" xr3:uid="{355EE1C9-1239-45AD-ABC9-A83725B5DCBC}" name="Name"/>
    <tableColumn id="3" xr3:uid="{2F4AA089-D94F-4A4C-ACFD-1E5969E47C41}" name="Plan"/>
    <tableColumn id="4" xr3:uid="{05126832-1356-40D3-8DE7-5DF811F8B2C9}" name="Start Date" dataDxfId="60"/>
    <tableColumn id="5" xr3:uid="{1FF2F91C-2F82-4F19-B913-76C12DECD139}" name="Auto Renewal"/>
    <tableColumn id="6" xr3:uid="{804B5EE0-E219-44A9-8925-3C2FB70BD090}" name="Subscription Price"/>
    <tableColumn id="7" xr3:uid="{2FF77EA9-7180-48E7-B48D-EF4BEEE3C915}" name="Subscription Type"/>
    <tableColumn id="8" xr3:uid="{7FC64364-0C4E-435C-97F8-87C7CA6F6C94}" name="EA Play Season Pass"/>
    <tableColumn id="9" xr3:uid="{0AB9F1ED-B7F8-4848-9B2F-765537F5B83A}" name="EA Play Season Pass_x000a_Price"/>
    <tableColumn id="10" xr3:uid="{48B78FD2-B8A7-46FC-B941-D0E090B859DB}" name="Minecraft Season Pass"/>
    <tableColumn id="11" xr3:uid="{CB9159A4-BA18-46B0-A6E2-15E6278FC19B}" name="Minecraft Season Pass Price"/>
    <tableColumn id="12" xr3:uid="{A7B649E1-8E1A-4DF3-9491-C323D8BE1BCE}" name="Coupon Value"/>
    <tableColumn id="13" xr3:uid="{7192C2C5-E888-41BF-9AB0-9A700DD06523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33" sqref="E33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3" sqref="E33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DBCE6-1A95-4C9A-AC6F-D3778A883A5A}">
  <sheetPr>
    <tabColor theme="3" tint="0.749992370372631"/>
  </sheetPr>
  <dimension ref="A1:M21"/>
  <sheetViews>
    <sheetView workbookViewId="0">
      <selection activeCell="E33" sqref="E33"/>
    </sheetView>
  </sheetViews>
  <sheetFormatPr defaultRowHeight="14.4" x14ac:dyDescent="0.3"/>
  <cols>
    <col min="1" max="1" width="14.109375" customWidth="1"/>
    <col min="4" max="4" width="11.21875" customWidth="1"/>
    <col min="5" max="5" width="14" customWidth="1"/>
    <col min="6" max="6" width="18.21875" customWidth="1"/>
    <col min="7" max="7" width="17.77734375" customWidth="1"/>
    <col min="8" max="8" width="19.44140625" customWidth="1"/>
    <col min="10" max="10" width="21.33203125" customWidth="1"/>
    <col min="11" max="11" width="26" customWidth="1"/>
    <col min="12" max="12" width="14.21875" customWidth="1"/>
    <col min="13" max="13" width="12" customWidth="1"/>
  </cols>
  <sheetData>
    <row r="1" spans="1:13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312</v>
      </c>
      <c r="G1" t="s">
        <v>16</v>
      </c>
      <c r="H1" t="s">
        <v>309</v>
      </c>
      <c r="I1" t="s">
        <v>310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3">
      <c r="A2">
        <v>3520</v>
      </c>
      <c r="B2" t="s">
        <v>303</v>
      </c>
      <c r="C2" t="s">
        <v>18</v>
      </c>
      <c r="D2" s="17">
        <v>45637</v>
      </c>
      <c r="E2" t="s">
        <v>19</v>
      </c>
      <c r="F2">
        <v>15</v>
      </c>
      <c r="G2" t="s">
        <v>24</v>
      </c>
      <c r="H2" t="s">
        <v>19</v>
      </c>
      <c r="I2">
        <v>30</v>
      </c>
      <c r="J2" t="s">
        <v>19</v>
      </c>
      <c r="K2">
        <v>20</v>
      </c>
      <c r="L2">
        <v>5</v>
      </c>
      <c r="M2">
        <v>60</v>
      </c>
    </row>
    <row r="3" spans="1:13" x14ac:dyDescent="0.3">
      <c r="A3">
        <v>3508</v>
      </c>
      <c r="B3" t="s">
        <v>294</v>
      </c>
      <c r="C3" t="s">
        <v>18</v>
      </c>
      <c r="D3" s="17">
        <v>45625</v>
      </c>
      <c r="E3" t="s">
        <v>19</v>
      </c>
      <c r="F3">
        <v>15</v>
      </c>
      <c r="G3" t="s">
        <v>24</v>
      </c>
      <c r="H3" t="s">
        <v>19</v>
      </c>
      <c r="I3">
        <v>30</v>
      </c>
      <c r="J3" t="s">
        <v>19</v>
      </c>
      <c r="K3">
        <v>20</v>
      </c>
      <c r="L3">
        <v>3</v>
      </c>
      <c r="M3">
        <v>62</v>
      </c>
    </row>
    <row r="4" spans="1:13" x14ac:dyDescent="0.3">
      <c r="A4">
        <v>3496</v>
      </c>
      <c r="B4" t="s">
        <v>283</v>
      </c>
      <c r="C4" t="s">
        <v>18</v>
      </c>
      <c r="D4" s="17">
        <v>45613</v>
      </c>
      <c r="E4" t="s">
        <v>19</v>
      </c>
      <c r="F4">
        <v>15</v>
      </c>
      <c r="G4" t="s">
        <v>24</v>
      </c>
      <c r="H4" t="s">
        <v>19</v>
      </c>
      <c r="I4">
        <v>30</v>
      </c>
      <c r="J4" t="s">
        <v>19</v>
      </c>
      <c r="K4">
        <v>20</v>
      </c>
      <c r="L4">
        <v>5</v>
      </c>
      <c r="M4">
        <v>60</v>
      </c>
    </row>
    <row r="5" spans="1:13" x14ac:dyDescent="0.3">
      <c r="A5">
        <v>3482</v>
      </c>
      <c r="B5" t="s">
        <v>269</v>
      </c>
      <c r="C5" t="s">
        <v>18</v>
      </c>
      <c r="D5" s="17">
        <v>45599</v>
      </c>
      <c r="E5" t="s">
        <v>19</v>
      </c>
      <c r="F5">
        <v>15</v>
      </c>
      <c r="G5" t="s">
        <v>24</v>
      </c>
      <c r="H5" t="s">
        <v>19</v>
      </c>
      <c r="I5">
        <v>30</v>
      </c>
      <c r="J5" t="s">
        <v>19</v>
      </c>
      <c r="K5">
        <v>20</v>
      </c>
      <c r="L5">
        <v>3</v>
      </c>
      <c r="M5">
        <v>62</v>
      </c>
    </row>
    <row r="6" spans="1:13" x14ac:dyDescent="0.3">
      <c r="A6">
        <v>3470</v>
      </c>
      <c r="B6" t="s">
        <v>258</v>
      </c>
      <c r="C6" t="s">
        <v>18</v>
      </c>
      <c r="D6" s="17">
        <v>45587</v>
      </c>
      <c r="E6" t="s">
        <v>19</v>
      </c>
      <c r="F6">
        <v>15</v>
      </c>
      <c r="G6" t="s">
        <v>24</v>
      </c>
      <c r="H6" t="s">
        <v>19</v>
      </c>
      <c r="I6">
        <v>30</v>
      </c>
      <c r="J6" t="s">
        <v>19</v>
      </c>
      <c r="K6">
        <v>20</v>
      </c>
      <c r="L6">
        <v>5</v>
      </c>
      <c r="M6">
        <v>60</v>
      </c>
    </row>
    <row r="7" spans="1:13" x14ac:dyDescent="0.3">
      <c r="A7">
        <v>3458</v>
      </c>
      <c r="B7" t="s">
        <v>247</v>
      </c>
      <c r="C7" t="s">
        <v>18</v>
      </c>
      <c r="D7" s="17">
        <v>45575</v>
      </c>
      <c r="E7" t="s">
        <v>19</v>
      </c>
      <c r="F7">
        <v>15</v>
      </c>
      <c r="G7" t="s">
        <v>24</v>
      </c>
      <c r="H7" t="s">
        <v>19</v>
      </c>
      <c r="I7">
        <v>30</v>
      </c>
      <c r="J7" t="s">
        <v>19</v>
      </c>
      <c r="K7">
        <v>20</v>
      </c>
      <c r="L7">
        <v>3</v>
      </c>
      <c r="M7">
        <v>62</v>
      </c>
    </row>
    <row r="8" spans="1:13" x14ac:dyDescent="0.3">
      <c r="A8">
        <v>3446</v>
      </c>
      <c r="B8" t="s">
        <v>237</v>
      </c>
      <c r="C8" t="s">
        <v>18</v>
      </c>
      <c r="D8" s="17">
        <v>45563</v>
      </c>
      <c r="E8" t="s">
        <v>19</v>
      </c>
      <c r="F8">
        <v>15</v>
      </c>
      <c r="G8" t="s">
        <v>24</v>
      </c>
      <c r="H8" t="s">
        <v>19</v>
      </c>
      <c r="I8">
        <v>30</v>
      </c>
      <c r="J8" t="s">
        <v>19</v>
      </c>
      <c r="K8">
        <v>20</v>
      </c>
      <c r="L8">
        <v>5</v>
      </c>
      <c r="M8">
        <v>60</v>
      </c>
    </row>
    <row r="9" spans="1:13" x14ac:dyDescent="0.3">
      <c r="A9">
        <v>3428</v>
      </c>
      <c r="B9" t="s">
        <v>220</v>
      </c>
      <c r="C9" t="s">
        <v>18</v>
      </c>
      <c r="D9" s="17">
        <v>45545</v>
      </c>
      <c r="E9" t="s">
        <v>19</v>
      </c>
      <c r="F9">
        <v>15</v>
      </c>
      <c r="G9" t="s">
        <v>24</v>
      </c>
      <c r="H9" t="s">
        <v>19</v>
      </c>
      <c r="I9">
        <v>30</v>
      </c>
      <c r="J9" t="s">
        <v>19</v>
      </c>
      <c r="K9">
        <v>20</v>
      </c>
      <c r="L9">
        <v>3</v>
      </c>
      <c r="M9">
        <v>62</v>
      </c>
    </row>
    <row r="10" spans="1:13" x14ac:dyDescent="0.3">
      <c r="A10">
        <v>3416</v>
      </c>
      <c r="B10" t="s">
        <v>211</v>
      </c>
      <c r="C10" t="s">
        <v>18</v>
      </c>
      <c r="D10" s="17">
        <v>45533</v>
      </c>
      <c r="E10" t="s">
        <v>19</v>
      </c>
      <c r="F10">
        <v>15</v>
      </c>
      <c r="G10" t="s">
        <v>24</v>
      </c>
      <c r="H10" t="s">
        <v>19</v>
      </c>
      <c r="I10">
        <v>30</v>
      </c>
      <c r="J10" t="s">
        <v>19</v>
      </c>
      <c r="K10">
        <v>20</v>
      </c>
      <c r="L10">
        <v>5</v>
      </c>
      <c r="M10">
        <v>60</v>
      </c>
    </row>
    <row r="11" spans="1:13" x14ac:dyDescent="0.3">
      <c r="A11">
        <v>3400</v>
      </c>
      <c r="B11" t="s">
        <v>195</v>
      </c>
      <c r="C11" t="s">
        <v>18</v>
      </c>
      <c r="D11" s="17">
        <v>45517</v>
      </c>
      <c r="E11" t="s">
        <v>19</v>
      </c>
      <c r="F11">
        <v>15</v>
      </c>
      <c r="G11" t="s">
        <v>24</v>
      </c>
      <c r="H11" t="s">
        <v>19</v>
      </c>
      <c r="I11">
        <v>30</v>
      </c>
      <c r="J11" t="s">
        <v>19</v>
      </c>
      <c r="K11">
        <v>20</v>
      </c>
      <c r="L11">
        <v>5</v>
      </c>
      <c r="M11">
        <v>60</v>
      </c>
    </row>
    <row r="12" spans="1:13" x14ac:dyDescent="0.3">
      <c r="A12">
        <v>3388</v>
      </c>
      <c r="B12" t="s">
        <v>185</v>
      </c>
      <c r="C12" t="s">
        <v>18</v>
      </c>
      <c r="D12" s="17">
        <v>45505</v>
      </c>
      <c r="E12" t="s">
        <v>19</v>
      </c>
      <c r="F12">
        <v>15</v>
      </c>
      <c r="G12" t="s">
        <v>24</v>
      </c>
      <c r="H12" t="s">
        <v>19</v>
      </c>
      <c r="I12">
        <v>30</v>
      </c>
      <c r="J12" t="s">
        <v>19</v>
      </c>
      <c r="K12">
        <v>20</v>
      </c>
      <c r="L12">
        <v>3</v>
      </c>
      <c r="M12">
        <v>62</v>
      </c>
    </row>
    <row r="13" spans="1:13" x14ac:dyDescent="0.3">
      <c r="A13">
        <v>3242</v>
      </c>
      <c r="B13" t="s">
        <v>40</v>
      </c>
      <c r="C13" t="s">
        <v>18</v>
      </c>
      <c r="D13" s="17">
        <v>45359</v>
      </c>
      <c r="E13" t="s">
        <v>19</v>
      </c>
      <c r="F13">
        <v>15</v>
      </c>
      <c r="G13" t="s">
        <v>24</v>
      </c>
      <c r="H13" t="s">
        <v>19</v>
      </c>
      <c r="I13">
        <v>30</v>
      </c>
      <c r="J13" t="s">
        <v>19</v>
      </c>
      <c r="K13">
        <v>20</v>
      </c>
      <c r="L13">
        <v>20</v>
      </c>
      <c r="M13">
        <v>45</v>
      </c>
    </row>
    <row r="14" spans="1:13" x14ac:dyDescent="0.3">
      <c r="A14">
        <v>3376</v>
      </c>
      <c r="B14" t="s">
        <v>173</v>
      </c>
      <c r="C14" t="s">
        <v>18</v>
      </c>
      <c r="D14" s="17">
        <v>45493</v>
      </c>
      <c r="E14" t="s">
        <v>19</v>
      </c>
      <c r="F14">
        <v>15</v>
      </c>
      <c r="G14" t="s">
        <v>24</v>
      </c>
      <c r="H14" t="s">
        <v>19</v>
      </c>
      <c r="I14">
        <v>30</v>
      </c>
      <c r="J14" t="s">
        <v>19</v>
      </c>
      <c r="K14">
        <v>20</v>
      </c>
      <c r="L14">
        <v>5</v>
      </c>
      <c r="M14">
        <v>60</v>
      </c>
    </row>
    <row r="15" spans="1:13" x14ac:dyDescent="0.3">
      <c r="A15">
        <v>3358</v>
      </c>
      <c r="B15" t="s">
        <v>155</v>
      </c>
      <c r="C15" t="s">
        <v>18</v>
      </c>
      <c r="D15" s="17">
        <v>45475</v>
      </c>
      <c r="E15" t="s">
        <v>19</v>
      </c>
      <c r="F15">
        <v>15</v>
      </c>
      <c r="G15" t="s">
        <v>24</v>
      </c>
      <c r="H15" t="s">
        <v>19</v>
      </c>
      <c r="I15">
        <v>30</v>
      </c>
      <c r="J15" t="s">
        <v>19</v>
      </c>
      <c r="K15">
        <v>20</v>
      </c>
      <c r="L15">
        <v>3</v>
      </c>
      <c r="M15">
        <v>62</v>
      </c>
    </row>
    <row r="16" spans="1:13" x14ac:dyDescent="0.3">
      <c r="A16">
        <v>3346</v>
      </c>
      <c r="B16" t="s">
        <v>144</v>
      </c>
      <c r="C16" t="s">
        <v>18</v>
      </c>
      <c r="D16" s="17">
        <v>45463</v>
      </c>
      <c r="E16" t="s">
        <v>19</v>
      </c>
      <c r="F16">
        <v>15</v>
      </c>
      <c r="G16" t="s">
        <v>24</v>
      </c>
      <c r="H16" t="s">
        <v>19</v>
      </c>
      <c r="I16">
        <v>30</v>
      </c>
      <c r="J16" t="s">
        <v>19</v>
      </c>
      <c r="K16">
        <v>20</v>
      </c>
      <c r="L16">
        <v>5</v>
      </c>
      <c r="M16">
        <v>60</v>
      </c>
    </row>
    <row r="17" spans="1:13" x14ac:dyDescent="0.3">
      <c r="A17">
        <v>3318</v>
      </c>
      <c r="B17" t="s">
        <v>116</v>
      </c>
      <c r="C17" t="s">
        <v>18</v>
      </c>
      <c r="D17" s="17">
        <v>45435</v>
      </c>
      <c r="E17" t="s">
        <v>23</v>
      </c>
      <c r="F17">
        <v>15</v>
      </c>
      <c r="G17" t="s">
        <v>24</v>
      </c>
      <c r="H17" t="s">
        <v>19</v>
      </c>
      <c r="I17">
        <v>30</v>
      </c>
      <c r="J17" t="s">
        <v>19</v>
      </c>
      <c r="K17">
        <v>20</v>
      </c>
      <c r="L17">
        <v>3</v>
      </c>
      <c r="M17">
        <v>62</v>
      </c>
    </row>
    <row r="18" spans="1:13" x14ac:dyDescent="0.3">
      <c r="A18">
        <v>3306</v>
      </c>
      <c r="B18" t="s">
        <v>104</v>
      </c>
      <c r="C18" t="s">
        <v>18</v>
      </c>
      <c r="D18" s="17">
        <v>45423</v>
      </c>
      <c r="E18" t="s">
        <v>23</v>
      </c>
      <c r="F18">
        <v>15</v>
      </c>
      <c r="G18" t="s">
        <v>24</v>
      </c>
      <c r="H18" t="s">
        <v>19</v>
      </c>
      <c r="I18">
        <v>30</v>
      </c>
      <c r="J18" t="s">
        <v>19</v>
      </c>
      <c r="K18">
        <v>20</v>
      </c>
      <c r="L18">
        <v>5</v>
      </c>
      <c r="M18">
        <v>60</v>
      </c>
    </row>
    <row r="19" spans="1:13" x14ac:dyDescent="0.3">
      <c r="A19">
        <v>3288</v>
      </c>
      <c r="B19" t="s">
        <v>86</v>
      </c>
      <c r="C19" t="s">
        <v>18</v>
      </c>
      <c r="D19" s="17">
        <v>45405</v>
      </c>
      <c r="E19" t="s">
        <v>19</v>
      </c>
      <c r="F19">
        <v>15</v>
      </c>
      <c r="G19" t="s">
        <v>24</v>
      </c>
      <c r="H19" t="s">
        <v>19</v>
      </c>
      <c r="I19">
        <v>30</v>
      </c>
      <c r="J19" t="s">
        <v>19</v>
      </c>
      <c r="K19">
        <v>20</v>
      </c>
      <c r="L19">
        <v>3</v>
      </c>
      <c r="M19">
        <v>62</v>
      </c>
    </row>
    <row r="20" spans="1:13" x14ac:dyDescent="0.3">
      <c r="A20">
        <v>3276</v>
      </c>
      <c r="B20" t="s">
        <v>74</v>
      </c>
      <c r="C20" t="s">
        <v>18</v>
      </c>
      <c r="D20" s="17">
        <v>45393</v>
      </c>
      <c r="E20" t="s">
        <v>19</v>
      </c>
      <c r="F20">
        <v>15</v>
      </c>
      <c r="G20" t="s">
        <v>24</v>
      </c>
      <c r="H20" t="s">
        <v>19</v>
      </c>
      <c r="I20">
        <v>30</v>
      </c>
      <c r="J20" t="s">
        <v>19</v>
      </c>
      <c r="K20">
        <v>20</v>
      </c>
      <c r="L20">
        <v>5</v>
      </c>
      <c r="M20">
        <v>60</v>
      </c>
    </row>
    <row r="21" spans="1:13" x14ac:dyDescent="0.3">
      <c r="A21">
        <v>3254</v>
      </c>
      <c r="B21" t="s">
        <v>52</v>
      </c>
      <c r="C21" t="s">
        <v>18</v>
      </c>
      <c r="D21" s="17">
        <v>45371</v>
      </c>
      <c r="E21" t="s">
        <v>19</v>
      </c>
      <c r="F21">
        <v>15</v>
      </c>
      <c r="G21" t="s">
        <v>24</v>
      </c>
      <c r="H21" t="s">
        <v>19</v>
      </c>
      <c r="I21">
        <v>30</v>
      </c>
      <c r="J21" t="s">
        <v>19</v>
      </c>
      <c r="K21">
        <v>20</v>
      </c>
      <c r="L21">
        <v>20</v>
      </c>
      <c r="M21">
        <v>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9:F43"/>
  <sheetViews>
    <sheetView showGridLines="0" workbookViewId="0">
      <selection activeCell="E33" sqref="E33"/>
    </sheetView>
  </sheetViews>
  <sheetFormatPr defaultRowHeight="14.4" x14ac:dyDescent="0.3"/>
  <cols>
    <col min="3" max="3" width="19.33203125" bestFit="1" customWidth="1"/>
    <col min="4" max="4" width="32.21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9" spans="3:4" x14ac:dyDescent="0.3">
      <c r="C9" t="s">
        <v>313</v>
      </c>
    </row>
    <row r="13" spans="3:4" x14ac:dyDescent="0.3">
      <c r="C13" s="13" t="s">
        <v>315</v>
      </c>
      <c r="D13" t="s">
        <v>314</v>
      </c>
    </row>
    <row r="14" spans="3:4" x14ac:dyDescent="0.3">
      <c r="C14" s="14" t="s">
        <v>23</v>
      </c>
      <c r="D14" s="22">
        <v>2824</v>
      </c>
    </row>
    <row r="15" spans="3:4" x14ac:dyDescent="0.3">
      <c r="C15" s="14" t="s">
        <v>19</v>
      </c>
      <c r="D15" s="22">
        <v>747</v>
      </c>
    </row>
    <row r="16" spans="3:4" x14ac:dyDescent="0.3">
      <c r="C16" s="14" t="s">
        <v>316</v>
      </c>
      <c r="D16" s="12">
        <v>3571</v>
      </c>
    </row>
    <row r="18" spans="3:6" x14ac:dyDescent="0.3">
      <c r="C18" s="14" t="s">
        <v>318</v>
      </c>
    </row>
    <row r="23" spans="3:6" x14ac:dyDescent="0.3">
      <c r="C23" s="13" t="s">
        <v>309</v>
      </c>
      <c r="D23" t="s">
        <v>19</v>
      </c>
    </row>
    <row r="24" spans="3:6" x14ac:dyDescent="0.3">
      <c r="C24" s="13" t="s">
        <v>16</v>
      </c>
      <c r="D24" t="s">
        <v>20</v>
      </c>
    </row>
    <row r="26" spans="3:6" x14ac:dyDescent="0.3">
      <c r="C26" s="13" t="s">
        <v>315</v>
      </c>
      <c r="D26" t="s">
        <v>319</v>
      </c>
    </row>
    <row r="27" spans="3:6" x14ac:dyDescent="0.3">
      <c r="C27" s="14" t="s">
        <v>18</v>
      </c>
      <c r="D27" s="12">
        <v>1350</v>
      </c>
      <c r="F27" s="18">
        <f>GETPIVOTDATA("EA Play Season Pass
Price",$C$26)</f>
        <v>1350</v>
      </c>
    </row>
    <row r="28" spans="3:6" x14ac:dyDescent="0.3">
      <c r="C28" s="14" t="s">
        <v>316</v>
      </c>
      <c r="D28" s="12">
        <v>1350</v>
      </c>
    </row>
    <row r="31" spans="3:6" x14ac:dyDescent="0.3">
      <c r="C31" t="s">
        <v>320</v>
      </c>
    </row>
    <row r="34" spans="3:6" x14ac:dyDescent="0.3">
      <c r="C34" s="13" t="s">
        <v>30</v>
      </c>
      <c r="D34" t="s">
        <v>19</v>
      </c>
    </row>
    <row r="36" spans="3:6" x14ac:dyDescent="0.3">
      <c r="C36" s="13" t="s">
        <v>315</v>
      </c>
      <c r="D36" t="s">
        <v>321</v>
      </c>
    </row>
    <row r="37" spans="3:6" x14ac:dyDescent="0.3">
      <c r="C37" s="14" t="s">
        <v>26</v>
      </c>
      <c r="D37" s="12">
        <v>900</v>
      </c>
    </row>
    <row r="38" spans="3:6" x14ac:dyDescent="0.3">
      <c r="C38" s="21" t="s">
        <v>23</v>
      </c>
      <c r="D38" s="12">
        <v>800</v>
      </c>
    </row>
    <row r="39" spans="3:6" x14ac:dyDescent="0.3">
      <c r="C39" s="21" t="s">
        <v>19</v>
      </c>
      <c r="D39" s="12">
        <v>100</v>
      </c>
    </row>
    <row r="40" spans="3:6" x14ac:dyDescent="0.3">
      <c r="C40" s="14" t="s">
        <v>18</v>
      </c>
      <c r="D40" s="12">
        <v>900</v>
      </c>
    </row>
    <row r="41" spans="3:6" x14ac:dyDescent="0.3">
      <c r="C41" s="21" t="s">
        <v>23</v>
      </c>
      <c r="D41" s="12">
        <v>680</v>
      </c>
    </row>
    <row r="42" spans="3:6" x14ac:dyDescent="0.3">
      <c r="C42" s="21" t="s">
        <v>19</v>
      </c>
      <c r="D42" s="12">
        <v>220</v>
      </c>
      <c r="F42" s="22">
        <f>GETPIVOTDATA("Minecraft Season Pass Price",$C$36)</f>
        <v>1800</v>
      </c>
    </row>
    <row r="43" spans="3:6" x14ac:dyDescent="0.3">
      <c r="C43" s="14" t="s">
        <v>316</v>
      </c>
      <c r="D43" s="12"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F64"/>
  <sheetViews>
    <sheetView showGridLines="0" showRowColHeaders="0" tabSelected="1" zoomScaleNormal="100" workbookViewId="0">
      <selection activeCell="S14" sqref="S14"/>
    </sheetView>
  </sheetViews>
  <sheetFormatPr defaultRowHeight="14.4" x14ac:dyDescent="0.3"/>
  <cols>
    <col min="1" max="1" width="27.5546875" style="4" customWidth="1"/>
    <col min="2" max="2" width="4.33203125" customWidth="1"/>
    <col min="3" max="3" width="1.109375" customWidth="1"/>
    <col min="4" max="4" width="2.21875" customWidth="1"/>
    <col min="5" max="5" width="9" customWidth="1"/>
    <col min="6" max="6" width="34.21875" customWidth="1"/>
    <col min="11" max="11" width="15.109375" customWidth="1"/>
    <col min="12" max="12" width="6.5546875" customWidth="1"/>
  </cols>
  <sheetData>
    <row r="1" spans="1:32" s="15" customFormat="1" ht="11.4" customHeight="1" x14ac:dyDescent="0.3">
      <c r="A1" s="4"/>
    </row>
    <row r="2" spans="1:32" ht="19.8" customHeight="1" thickBot="1" x14ac:dyDescent="0.45">
      <c r="C2" s="20" t="s">
        <v>317</v>
      </c>
      <c r="D2" s="20"/>
      <c r="E2" s="20"/>
      <c r="F2" s="20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32" ht="19.2" customHeight="1" thickTop="1" x14ac:dyDescent="0.3"/>
    <row r="4" spans="1:32" ht="19.2" customHeight="1" x14ac:dyDescent="0.3">
      <c r="B4" s="23" t="s">
        <v>323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</row>
    <row r="5" spans="1:32" ht="33" customHeight="1" x14ac:dyDescent="0.3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</row>
    <row r="6" spans="1:32" x14ac:dyDescent="0.3"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7" spans="1:32" x14ac:dyDescent="0.3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x14ac:dyDescent="0.3"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</row>
    <row r="9" spans="1:32" ht="21" x14ac:dyDescent="0.4">
      <c r="A9" s="24" t="s">
        <v>322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</row>
    <row r="10" spans="1:32" x14ac:dyDescent="0.3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</row>
    <row r="11" spans="1:32" x14ac:dyDescent="0.3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</row>
    <row r="12" spans="1:32" x14ac:dyDescent="0.3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x14ac:dyDescent="0.3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</row>
    <row r="14" spans="1:32" x14ac:dyDescent="0.3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</row>
    <row r="15" spans="1:32" x14ac:dyDescent="0.3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 spans="1:32" x14ac:dyDescent="0.3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</row>
    <row r="17" spans="2:32" x14ac:dyDescent="0.3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2:32" x14ac:dyDescent="0.3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</row>
    <row r="19" spans="2:32" x14ac:dyDescent="0.3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</row>
    <row r="20" spans="2:32" x14ac:dyDescent="0.3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</row>
    <row r="21" spans="2:32" x14ac:dyDescent="0.3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</row>
    <row r="22" spans="2:32" x14ac:dyDescent="0.3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</row>
    <row r="23" spans="2:32" x14ac:dyDescent="0.3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</row>
    <row r="24" spans="2:32" x14ac:dyDescent="0.3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</row>
    <row r="25" spans="2:32" x14ac:dyDescent="0.3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</row>
    <row r="26" spans="2:32" x14ac:dyDescent="0.3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2:32" x14ac:dyDescent="0.3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</row>
    <row r="28" spans="2:32" x14ac:dyDescent="0.3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</row>
    <row r="29" spans="2:32" x14ac:dyDescent="0.3"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</row>
    <row r="30" spans="2:32" x14ac:dyDescent="0.3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</row>
    <row r="31" spans="2:32" x14ac:dyDescent="0.3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</row>
    <row r="32" spans="2:32" x14ac:dyDescent="0.3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</row>
    <row r="33" spans="2:32" x14ac:dyDescent="0.3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</row>
    <row r="34" spans="2:32" x14ac:dyDescent="0.3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 spans="2:32" x14ac:dyDescent="0.3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</row>
    <row r="36" spans="2:32" x14ac:dyDescent="0.3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</row>
    <row r="37" spans="2:32" x14ac:dyDescent="0.3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</row>
    <row r="38" spans="2:32" x14ac:dyDescent="0.3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</row>
    <row r="39" spans="2:32" x14ac:dyDescent="0.3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</row>
    <row r="40" spans="2:32" x14ac:dyDescent="0.3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</row>
    <row r="41" spans="2:32" x14ac:dyDescent="0.3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</row>
    <row r="42" spans="2:32" x14ac:dyDescent="0.3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</row>
    <row r="43" spans="2:32" x14ac:dyDescent="0.3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 spans="2:32" x14ac:dyDescent="0.3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</row>
    <row r="45" spans="2:32" x14ac:dyDescent="0.3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</row>
    <row r="46" spans="2:32" x14ac:dyDescent="0.3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</row>
    <row r="47" spans="2:32" x14ac:dyDescent="0.3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</row>
    <row r="48" spans="2:32" x14ac:dyDescent="0.3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</row>
    <row r="49" spans="2:32" x14ac:dyDescent="0.3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</row>
    <row r="50" spans="2:32" x14ac:dyDescent="0.3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</row>
    <row r="51" spans="2:32" x14ac:dyDescent="0.3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</row>
    <row r="52" spans="2:32" x14ac:dyDescent="0.3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</row>
    <row r="53" spans="2:32" x14ac:dyDescent="0.3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2:32" x14ac:dyDescent="0.3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</row>
    <row r="55" spans="2:32" x14ac:dyDescent="0.3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</row>
    <row r="56" spans="2:32" x14ac:dyDescent="0.3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</row>
    <row r="57" spans="2:32" x14ac:dyDescent="0.3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</row>
    <row r="58" spans="2:32" x14ac:dyDescent="0.3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</row>
    <row r="59" spans="2:32" x14ac:dyDescent="0.3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</row>
    <row r="60" spans="2:32" x14ac:dyDescent="0.3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</row>
    <row r="61" spans="2:32" x14ac:dyDescent="0.3"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</row>
    <row r="62" spans="2:32" x14ac:dyDescent="0.3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</row>
    <row r="63" spans="2:32" x14ac:dyDescent="0.3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</row>
    <row r="64" spans="2:32" x14ac:dyDescent="0.3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</row>
  </sheetData>
  <mergeCells count="1">
    <mergeCell ref="C2:F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Planilha1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Tiago Gabriel Bassoli</cp:lastModifiedBy>
  <dcterms:created xsi:type="dcterms:W3CDTF">2024-12-19T13:13:10Z</dcterms:created>
  <dcterms:modified xsi:type="dcterms:W3CDTF">2026-09-19T15:40:03Z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