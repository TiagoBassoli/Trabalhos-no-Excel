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13_ncr:1_{C2EC8D10-D647-4F21-B807-88D305382718}" xr6:coauthVersionLast="47" xr6:coauthVersionMax="47" xr10:uidLastSave="{00000000-0000-0000-0000-000000000000}"/>
  <bookViews>
    <workbookView xWindow="-108" yWindow="-108" windowWidth="23256" windowHeight="13896" tabRatio="345" xr2:uid="{D63472A4-8300-4934-9C87-0EC792DCF89D}"/>
  </bookViews>
  <sheets>
    <sheet name="APP" sheetId="1" r:id="rId1"/>
    <sheet name="Planilha2" sheetId="2" r:id="rId2"/>
  </sheets>
  <definedNames>
    <definedName name="aporte">APP!$D$19</definedName>
    <definedName name="patrimonio">APP!$D$22</definedName>
    <definedName name="qtd_anos">APP!$D$20</definedName>
    <definedName name="rendimento_carteira">APP!$D$15</definedName>
    <definedName name="salario">APP!$D$14</definedName>
    <definedName name="sugestao_investimento">APP!$D$16</definedName>
    <definedName name="taxa_mensal">APP!$D$21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1" l="1"/>
  <c r="C27" i="1"/>
  <c r="D27" i="1" s="1"/>
  <c r="C26" i="1"/>
  <c r="D26" i="1" s="1"/>
  <c r="D16" i="1"/>
  <c r="C39" i="1"/>
  <c r="C40" i="1"/>
  <c r="C41" i="1"/>
  <c r="C42" i="1"/>
  <c r="C43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5" i="1"/>
  <c r="D22" i="1"/>
  <c r="D23" i="1" s="1"/>
  <c r="C29" i="1"/>
  <c r="D29" i="1" s="1"/>
  <c r="C28" i="1"/>
  <c r="D28" i="1" s="1"/>
  <c r="C30" i="1"/>
  <c r="D30" i="1" s="1"/>
  <c r="D38" i="1" l="1"/>
  <c r="D43" i="1"/>
  <c r="D41" i="1"/>
  <c r="D40" i="1"/>
  <c r="D42" i="1"/>
  <c r="D39" i="1"/>
  <c r="D44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<sst xmlns="http://schemas.openxmlformats.org/spreadsheetml/2006/main" count="71" uniqueCount="34">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</sst>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6A-45AF-A982-542817B16D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6A-45AF-A982-542817B16DB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6A-45AF-A982-542817B16DB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6A-45AF-A982-542817B16DB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76A-45AF-A982-542817B16DB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76A-45AF-A982-542817B16D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APP!$C$38:$C$43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44</xdr:row>
      <xdr:rowOff>97971</xdr:rowOff>
    </xdr:from>
    <xdr:to>
      <xdr:col>3</xdr:col>
      <xdr:colOff>892175</xdr:colOff>
      <xdr:row>57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318653</xdr:colOff>
      <xdr:row>0</xdr:row>
      <xdr:rowOff>0</xdr:rowOff>
    </xdr:from>
    <xdr:to>
      <xdr:col>4</xdr:col>
      <xdr:colOff>110836</xdr:colOff>
      <xdr:row>11</xdr:row>
      <xdr:rowOff>20782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1CC4E97-47E9-46EE-CFAF-76AE5A3C58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5" t="7764" r="1349" b="21251"/>
        <a:stretch/>
      </xdr:blipFill>
      <xdr:spPr>
        <a:xfrm>
          <a:off x="318653" y="0"/>
          <a:ext cx="5604165" cy="2001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2:H44"/>
  <sheetViews>
    <sheetView showGridLines="0" tabSelected="1" topLeftCell="A22" zoomScale="110" zoomScaleNormal="110" workbookViewId="0">
      <selection activeCell="F22" sqref="F22"/>
    </sheetView>
  </sheetViews>
  <sheetFormatPr defaultColWidth="0" defaultRowHeight="14.4" x14ac:dyDescent="0.3"/>
  <cols>
    <col min="1" max="1" width="5.44140625" customWidth="1"/>
    <col min="2" max="2" width="46.77734375" customWidth="1"/>
    <col min="3" max="3" width="17.44140625" bestFit="1" customWidth="1"/>
    <col min="4" max="4" width="15" customWidth="1"/>
    <col min="5" max="8" width="3.5546875" customWidth="1"/>
    <col min="9" max="16384" width="8.77734375" hidden="1"/>
  </cols>
  <sheetData>
    <row r="12" spans="2:4" ht="15" thickBot="1" x14ac:dyDescent="0.35"/>
    <row r="13" spans="2:4" ht="27" x14ac:dyDescent="0.4">
      <c r="B13" s="5" t="s">
        <v>15</v>
      </c>
      <c r="C13" s="6"/>
      <c r="D13" s="7"/>
    </row>
    <row r="14" spans="2:4" ht="19.2" x14ac:dyDescent="0.45">
      <c r="B14" s="43" t="s">
        <v>14</v>
      </c>
      <c r="C14" s="44"/>
      <c r="D14" s="23">
        <v>2000</v>
      </c>
    </row>
    <row r="15" spans="2:4" ht="19.2" x14ac:dyDescent="0.45">
      <c r="B15" s="45" t="s">
        <v>13</v>
      </c>
      <c r="C15" s="46"/>
      <c r="D15" s="24">
        <v>6.0000000000000001E-3</v>
      </c>
    </row>
    <row r="16" spans="2:4" ht="19.8" thickBot="1" x14ac:dyDescent="0.5">
      <c r="B16" s="52" t="s">
        <v>33</v>
      </c>
      <c r="C16" s="53"/>
      <c r="D16" s="25">
        <f>D14*30%</f>
        <v>600</v>
      </c>
    </row>
    <row r="17" spans="1:6" ht="15" thickBot="1" x14ac:dyDescent="0.35"/>
    <row r="18" spans="1:6" ht="28.5" customHeight="1" x14ac:dyDescent="0.3">
      <c r="B18" s="49" t="s">
        <v>5</v>
      </c>
      <c r="C18" s="50"/>
      <c r="D18" s="51"/>
    </row>
    <row r="19" spans="1:6" ht="19.2" x14ac:dyDescent="0.45">
      <c r="B19" s="43" t="s">
        <v>0</v>
      </c>
      <c r="C19" s="44"/>
      <c r="D19" s="18">
        <v>200</v>
      </c>
    </row>
    <row r="20" spans="1:6" ht="19.2" x14ac:dyDescent="0.45">
      <c r="B20" s="45" t="s">
        <v>1</v>
      </c>
      <c r="C20" s="46"/>
      <c r="D20" s="19">
        <v>5</v>
      </c>
    </row>
    <row r="21" spans="1:6" ht="19.2" x14ac:dyDescent="0.45">
      <c r="B21" s="45" t="s">
        <v>2</v>
      </c>
      <c r="C21" s="46"/>
      <c r="D21" s="20">
        <v>1.0789999999999999E-2</v>
      </c>
    </row>
    <row r="22" spans="1:6" ht="19.2" x14ac:dyDescent="0.45">
      <c r="B22" s="54" t="s">
        <v>3</v>
      </c>
      <c r="C22" s="55"/>
      <c r="D22" s="21">
        <f>FV(taxa_mensal,qtd_anos*12,aporte*-1)</f>
        <v>16755.382799697527</v>
      </c>
    </row>
    <row r="23" spans="1:6" ht="19.8" thickBot="1" x14ac:dyDescent="0.5">
      <c r="B23" s="47" t="s">
        <v>4</v>
      </c>
      <c r="C23" s="48"/>
      <c r="D23" s="22">
        <f>patrimonio*rendimento_carteira</f>
        <v>100.53229679818516</v>
      </c>
      <c r="F23" s="3"/>
    </row>
    <row r="24" spans="1:6" ht="15" thickBot="1" x14ac:dyDescent="0.35"/>
    <row r="25" spans="1:6" ht="29.4" x14ac:dyDescent="0.3">
      <c r="B25" s="49" t="s">
        <v>11</v>
      </c>
      <c r="C25" s="50"/>
      <c r="D25" s="8" t="s">
        <v>12</v>
      </c>
    </row>
    <row r="26" spans="1:6" ht="19.2" x14ac:dyDescent="0.45">
      <c r="A26" s="1">
        <v>2</v>
      </c>
      <c r="B26" s="9" t="s">
        <v>6</v>
      </c>
      <c r="C26" s="10">
        <f>FV($D$21,$A26*12,$D$19*-1)</f>
        <v>5445.5254595290435</v>
      </c>
      <c r="D26" s="11">
        <f>C26*rendimento_carteira</f>
        <v>32.673152757174265</v>
      </c>
    </row>
    <row r="27" spans="1:6" ht="19.2" x14ac:dyDescent="0.45">
      <c r="A27" s="1">
        <v>5</v>
      </c>
      <c r="B27" s="12" t="s">
        <v>7</v>
      </c>
      <c r="C27" s="13">
        <f>FV($D$21,$A27*12,$D$19*-1)</f>
        <v>16755.382799697527</v>
      </c>
      <c r="D27" s="14">
        <f>C27*rendimento_carteira</f>
        <v>100.53229679818516</v>
      </c>
    </row>
    <row r="28" spans="1:6" ht="19.2" x14ac:dyDescent="0.45">
      <c r="A28" s="1">
        <v>10</v>
      </c>
      <c r="B28" s="12" t="s">
        <v>8</v>
      </c>
      <c r="C28" s="13">
        <f>FV($D$21,$A28*12,$D$19*-1)</f>
        <v>48656.842506034438</v>
      </c>
      <c r="D28" s="14">
        <f>C28*rendimento_carteira</f>
        <v>291.94105503620665</v>
      </c>
    </row>
    <row r="29" spans="1:6" ht="19.2" x14ac:dyDescent="0.45">
      <c r="A29" s="1">
        <v>20</v>
      </c>
      <c r="B29" s="12" t="s">
        <v>9</v>
      </c>
      <c r="C29" s="13">
        <f>FV($D$21,$A29*12,$D$19*-1)</f>
        <v>225039.68001941612</v>
      </c>
      <c r="D29" s="14">
        <f>C29*rendimento_carteira</f>
        <v>1350.2380801164968</v>
      </c>
    </row>
    <row r="30" spans="1:6" ht="19.8" thickBot="1" x14ac:dyDescent="0.5">
      <c r="A30" s="1">
        <v>30</v>
      </c>
      <c r="B30" s="15" t="s">
        <v>10</v>
      </c>
      <c r="C30" s="16">
        <f>FV($D$21,$A30*12,$D$19*-1)</f>
        <v>864433.93100094295</v>
      </c>
      <c r="D30" s="17">
        <f>C30*rendimento_carteira</f>
        <v>5186.6035860056581</v>
      </c>
    </row>
    <row r="34" spans="2:4" x14ac:dyDescent="0.3">
      <c r="B34" s="26" t="s">
        <v>20</v>
      </c>
      <c r="C34" s="27" t="s">
        <v>17</v>
      </c>
      <c r="D34" s="26"/>
    </row>
    <row r="35" spans="2:4" x14ac:dyDescent="0.3">
      <c r="B35" s="28" t="s">
        <v>19</v>
      </c>
      <c r="C35" s="29">
        <f>aporte</f>
        <v>200</v>
      </c>
      <c r="D35" s="28"/>
    </row>
    <row r="37" spans="2:4" x14ac:dyDescent="0.3">
      <c r="B37" s="30" t="s">
        <v>21</v>
      </c>
      <c r="C37" s="30" t="s">
        <v>22</v>
      </c>
      <c r="D37" s="30" t="s">
        <v>23</v>
      </c>
    </row>
    <row r="38" spans="2:4" x14ac:dyDescent="0.3">
      <c r="B38" s="2" t="s">
        <v>24</v>
      </c>
      <c r="C38" s="4">
        <f>VLOOKUP($C$34&amp;"-"&amp;B38,Planilha2!$A:$D,4,FALSE)</f>
        <v>0.32</v>
      </c>
      <c r="D38" s="33">
        <f>C38*$C$35</f>
        <v>64</v>
      </c>
    </row>
    <row r="39" spans="2:4" x14ac:dyDescent="0.3">
      <c r="B39" s="2" t="s">
        <v>25</v>
      </c>
      <c r="C39" s="4">
        <f>VLOOKUP($C$34&amp;"-"&amp;B39,Planilha2!$A:$D,4,FALSE)</f>
        <v>0.35</v>
      </c>
      <c r="D39" s="33">
        <f t="shared" ref="D39:D43" si="0">C39*$C$35</f>
        <v>70</v>
      </c>
    </row>
    <row r="40" spans="2:4" x14ac:dyDescent="0.3">
      <c r="B40" s="2" t="s">
        <v>26</v>
      </c>
      <c r="C40" s="4">
        <f>VLOOKUP($C$34&amp;"-"&amp;B40,Planilha2!$A:$D,4,FALSE)</f>
        <v>0.08</v>
      </c>
      <c r="D40" s="33">
        <f t="shared" si="0"/>
        <v>16</v>
      </c>
    </row>
    <row r="41" spans="2:4" x14ac:dyDescent="0.3">
      <c r="B41" s="2" t="s">
        <v>27</v>
      </c>
      <c r="C41" s="4">
        <f>VLOOKUP($C$34&amp;"-"&amp;B41,Planilha2!$A:$D,4,FALSE)</f>
        <v>0.05</v>
      </c>
      <c r="D41" s="33">
        <f t="shared" si="0"/>
        <v>10</v>
      </c>
    </row>
    <row r="42" spans="2:4" x14ac:dyDescent="0.3">
      <c r="B42" s="2" t="s">
        <v>28</v>
      </c>
      <c r="C42" s="4">
        <f>VLOOKUP($C$34&amp;"-"&amp;B42,Planilha2!$A:$D,4,FALSE)</f>
        <v>0.1</v>
      </c>
      <c r="D42" s="33">
        <f t="shared" si="0"/>
        <v>20</v>
      </c>
    </row>
    <row r="43" spans="2:4" x14ac:dyDescent="0.3">
      <c r="B43" s="2" t="s">
        <v>29</v>
      </c>
      <c r="C43" s="4">
        <f>VLOOKUP($C$34&amp;"-"&amp;B43,Planilha2!$A:$D,4,FALSE)</f>
        <v>0.1</v>
      </c>
      <c r="D43" s="33">
        <f t="shared" si="0"/>
        <v>20</v>
      </c>
    </row>
    <row r="44" spans="2:4" x14ac:dyDescent="0.3">
      <c r="B44" s="31"/>
      <c r="C44" s="31"/>
      <c r="D44" s="32">
        <f>SUM(D38:D43)</f>
        <v>200</v>
      </c>
    </row>
  </sheetData>
  <mergeCells count="10">
    <mergeCell ref="B14:C14"/>
    <mergeCell ref="B15:C15"/>
    <mergeCell ref="B16:C16"/>
    <mergeCell ref="B22:C22"/>
    <mergeCell ref="B25:C25"/>
    <mergeCell ref="B19:C19"/>
    <mergeCell ref="B20:C20"/>
    <mergeCell ref="B21:C21"/>
    <mergeCell ref="B23:C23"/>
    <mergeCell ref="B18:D18"/>
  </mergeCells>
  <dataValidations count="1">
    <dataValidation type="list" allowBlank="1" showInputMessage="1" showErrorMessage="1" sqref="C34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2" spans="1:8" x14ac:dyDescent="0.3">
      <c r="A2" s="41" t="s">
        <v>31</v>
      </c>
      <c r="B2" s="41" t="s">
        <v>20</v>
      </c>
      <c r="C2" s="42" t="s">
        <v>21</v>
      </c>
      <c r="D2" s="42" t="s">
        <v>30</v>
      </c>
    </row>
    <row r="3" spans="1:8" x14ac:dyDescent="0.3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3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3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3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3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" thickBot="1" x14ac:dyDescent="0.35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3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3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 x14ac:dyDescent="0.3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3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3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" thickBot="1" x14ac:dyDescent="0.35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3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3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3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3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3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3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3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Tiago Gabriel Bassoli</cp:lastModifiedBy>
  <dcterms:created xsi:type="dcterms:W3CDTF">2025-04-16T18:38:03Z</dcterms:created>
  <dcterms:modified xsi:type="dcterms:W3CDTF">2026-09-12T18:33:05Z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